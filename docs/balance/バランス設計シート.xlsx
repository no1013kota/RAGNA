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使い方" sheetId="1" state="visible" r:id="rId1"/>
    <sheet name="② パラメータ" sheetId="2" state="visible" r:id="rId2"/>
    <sheet name="③ ガチャ試算" sheetId="3" state="visible" r:id="rId3"/>
    <sheet name="④ 成長試算" sheetId="4" state="visible" r:id="rId4"/>
    <sheet name="⑤ 使い魔一覧" sheetId="5" state="visible" r:id="rId5"/>
    <sheet name="⑥ スキル影響" sheetId="6" state="visible" r:id="rId6"/>
  </sheets>
  <definedNames>
    <definedName name="_xlnm._FilterDatabase" localSheetId="4" hidden="1">'⑤ 使い魔一覧'!$A$4:$J$54</definedName>
    <definedName name="_xlnm._FilterDatabase" localSheetId="5" hidden="1">'⑥ スキル影響'!$A$5:$I$34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&quot;%&quot;"/>
    <numFmt numFmtId="165" formatCode="0.000%"/>
    <numFmt numFmtId="166" formatCode="0.0000"/>
    <numFmt numFmtId="167" formatCode="0.0"/>
    <numFmt numFmtId="168" formatCode="0.00&quot;倍&quot;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color rgb="00666666"/>
      <sz val="9"/>
    </font>
    <font>
      <b val="1"/>
      <sz val="10"/>
    </font>
    <font>
      <b val="1"/>
      <color rgb="00CC0000"/>
    </font>
  </fonts>
  <fills count="6">
    <fill>
      <patternFill/>
    </fill>
    <fill>
      <patternFill patternType="gray125"/>
    </fill>
    <fill>
      <patternFill patternType="solid">
        <fgColor rgb="002B2D31"/>
      </patternFill>
    </fill>
    <fill>
      <patternFill patternType="solid">
        <fgColor rgb="00D9D9D9"/>
      </patternFill>
    </fill>
    <fill>
      <patternFill patternType="solid">
        <fgColor rgb="00EAF3F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4" fillId="0" borderId="0" pivotButton="0" quotePrefix="0" xfId="0"/>
    <xf numFmtId="0" fontId="0" fillId="0" borderId="1" pivotButton="0" quotePrefix="0" xfId="0"/>
    <xf numFmtId="3" fontId="0" fillId="4" borderId="1" pivotButton="0" quotePrefix="0" xfId="0"/>
    <xf numFmtId="3" fontId="0" fillId="5" borderId="1" pivotButton="0" quotePrefix="0" xfId="0"/>
    <xf numFmtId="0" fontId="0" fillId="4" borderId="1" pivotButton="0" quotePrefix="0" xfId="0"/>
    <xf numFmtId="0" fontId="0" fillId="5" borderId="1" pivotButton="0" quotePrefix="0" xfId="0"/>
    <xf numFmtId="164" fontId="0" fillId="4" borderId="1" pivotButton="0" quotePrefix="0" xfId="0"/>
    <xf numFmtId="0" fontId="5" fillId="0" borderId="0" pivotButton="0" quotePrefix="0" xfId="0"/>
    <xf numFmtId="0" fontId="4" fillId="3" borderId="1" applyAlignment="1" pivotButton="0" quotePrefix="0" xfId="0">
      <alignment horizontal="center"/>
    </xf>
    <xf numFmtId="1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168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22" customHeight="1">
      <c r="A1" s="1" t="inlineStr">
        <is>
          <t xml:space="preserve">  ラグナオンライン バランス設計シート</t>
        </is>
      </c>
    </row>
    <row r="2">
      <c r="B2" t="inlineStr"/>
    </row>
    <row r="3">
      <c r="B3" s="2" t="inlineStr">
        <is>
          <t>■ このシートでできること</t>
        </is>
      </c>
    </row>
    <row r="4">
      <c r="B4" t="inlineStr">
        <is>
          <t xml:space="preserve">　「ガチャの排出率」「使い魔の数」「成長のしかた」を変えると、</t>
        </is>
      </c>
    </row>
    <row r="5">
      <c r="B5" t="inlineStr">
        <is>
          <t xml:space="preserve">　・特定の使い魔を最大レベルにするのに何coin・何か月かかるか</t>
        </is>
      </c>
    </row>
    <row r="6">
      <c r="B6" t="inlineStr">
        <is>
          <t xml:space="preserve">　・各使い魔の最終的なHP／ATKがいくつになるか</t>
        </is>
      </c>
    </row>
    <row r="7">
      <c r="B7" t="inlineStr">
        <is>
          <t xml:space="preserve">　・スキルの威力がどう変わるか</t>
        </is>
      </c>
    </row>
    <row r="8">
      <c r="B8" t="inlineStr">
        <is>
          <t xml:space="preserve">　が自動で計算し直されます。</t>
        </is>
      </c>
    </row>
    <row r="9">
      <c r="B9" t="inlineStr"/>
    </row>
    <row r="10">
      <c r="B10" s="2" t="inlineStr">
        <is>
          <t>■ 触ってよいのは黄色のセルだけです</t>
        </is>
      </c>
    </row>
    <row r="11">
      <c r="B11" t="inlineStr">
        <is>
          <t xml:space="preserve">　黄色 … あなたが書き換えるところ</t>
        </is>
      </c>
    </row>
    <row r="12">
      <c r="B12" t="inlineStr">
        <is>
          <t xml:space="preserve">　水色 … 自動計算。書き換えないでください（数式が消えます）</t>
        </is>
      </c>
    </row>
    <row r="13">
      <c r="B13" t="inlineStr"/>
    </row>
    <row r="14">
      <c r="B14" s="2" t="inlineStr">
        <is>
          <t>■ シートの見かた</t>
        </is>
      </c>
    </row>
    <row r="15">
      <c r="B15" t="inlineStr">
        <is>
          <t xml:space="preserve">　② パラメータ　… ここの数値を書き換えます。すべての計算の元になります</t>
        </is>
      </c>
    </row>
    <row r="16">
      <c r="B16" t="inlineStr">
        <is>
          <t xml:space="preserve">　③ ガチャ試算　… 最大レベルまでに必要な回数・coin・月数が出ます（一番大事）</t>
        </is>
      </c>
    </row>
    <row r="17">
      <c r="B17" t="inlineStr">
        <is>
          <t xml:space="preserve">　④ 成長試算　　… ランクごとの平均能力値が、今と案でどう変わるか</t>
        </is>
      </c>
    </row>
    <row r="18">
      <c r="B18" t="inlineStr">
        <is>
          <t xml:space="preserve">　⑤ 使い魔一覧　… 全50体の能力値と、最終的な能力値</t>
        </is>
      </c>
    </row>
    <row r="19">
      <c r="B19" t="inlineStr">
        <is>
          <t xml:space="preserve">　⑥ スキル影響　… ATKやHPを変えると、スキルの威力がどう動くか</t>
        </is>
      </c>
    </row>
    <row r="20">
      <c r="B20" t="inlineStr"/>
    </row>
    <row r="21">
      <c r="B21" s="2" t="inlineStr">
        <is>
          <t>■ 今わかっている一番の問題</t>
        </is>
      </c>
    </row>
    <row r="22">
      <c r="B22" t="inlineStr">
        <is>
          <t xml:space="preserve">　現在の設定では、同じ使い魔を10体そろえないと最大レベルになりません。</t>
        </is>
      </c>
    </row>
    <row r="23">
      <c r="B23" t="inlineStr">
        <is>
          <t xml:space="preserve">　Cランクでも約133か月、Sランクでは約1421か月ぶんの収入が必要です。</t>
        </is>
      </c>
    </row>
    <row r="24">
      <c r="B24" t="inlineStr">
        <is>
          <t xml:space="preserve">　つまり合成は事実上ほとんど使えない機能になっています。</t>
        </is>
      </c>
    </row>
    <row r="25">
      <c r="B25" t="inlineStr">
        <is>
          <t xml:space="preserve">　③ガチャ試算の「必要な月数」を見ながら、現実的な数字を探してみてください。</t>
        </is>
      </c>
    </row>
    <row r="26">
      <c r="B26" t="inlineStr"/>
    </row>
    <row r="27">
      <c r="B27" s="2" t="inlineStr">
        <is>
          <t>■ 効きやすいパラメータ（迷ったらここから）</t>
        </is>
      </c>
    </row>
    <row r="28">
      <c r="B28" t="inlineStr">
        <is>
          <t xml:space="preserve">　1. 最大レベル　　　　　　… 下げると必要な体数が一気に減ります</t>
        </is>
      </c>
    </row>
    <row r="29">
      <c r="B29" t="inlineStr">
        <is>
          <t xml:space="preserve">　2. 1レベルに必要な素材数 … 同上</t>
        </is>
      </c>
    </row>
    <row r="30">
      <c r="B30" t="inlineStr">
        <is>
          <t xml:space="preserve">　3. 各ランクの使い魔の数　… 減らすと同じ使い魔が出やすくなります</t>
        </is>
      </c>
    </row>
    <row r="31">
      <c r="B31" t="inlineStr">
        <is>
          <t xml:space="preserve">　4. 排出率　　　　　　　　… 上げると出やすくなります（合計1000を保つこと）</t>
        </is>
      </c>
    </row>
    <row r="32">
      <c r="B32" t="inlineStr">
        <is>
          <t xml:space="preserve">　5. ガチャの費用　　　　　… 月の収入と見比べてください</t>
        </is>
      </c>
    </row>
    <row r="33">
      <c r="B33" t="inlineStr"/>
    </row>
    <row r="34">
      <c r="B34" s="2" t="inlineStr">
        <is>
          <t>■ 決まったら</t>
        </is>
      </c>
    </row>
    <row r="35">
      <c r="B35" t="inlineStr">
        <is>
          <t xml:space="preserve">　数値が決まったら教えてください。data/master/*.json へ反映して</t>
        </is>
      </c>
    </row>
    <row r="36">
      <c r="B36" t="inlineStr">
        <is>
          <t xml:space="preserve">　Discordへ配信します。手で書き換える必要はありません。</t>
        </is>
      </c>
    </row>
    <row r="37">
      <c r="B37" t="inlineStr"/>
    </row>
    <row r="38">
      <c r="B38" s="3" t="inlineStr">
        <is>
          <t>※ このファイルは scripts/make_balance_sheet.py で作り直せます。</t>
        </is>
      </c>
    </row>
    <row r="39">
      <c r="B39" t="inlineStr">
        <is>
          <t xml:space="preserve">　 使い魔の能力値やスキルは data/master/ の最新の内容を読み込んでいます。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2" customHeight="1">
      <c r="A1" s="1" t="inlineStr">
        <is>
          <t xml:space="preserve">  ② パラメータ　— 黄色のセルを書き換えてください</t>
        </is>
      </c>
    </row>
    <row r="2">
      <c r="A2" s="3" t="inlineStr">
        <is>
          <t xml:space="preserve">　　「現在」列は今Discordで動いている値です（参考用）。書き換えるのは「試す値」列です。</t>
        </is>
      </c>
    </row>
    <row r="3">
      <c r="A3" s="4" t="inlineStr">
        <is>
          <t>■ ガチャの費用</t>
        </is>
      </c>
    </row>
    <row r="4">
      <c r="B4" s="5" t="inlineStr">
        <is>
          <t>現在</t>
        </is>
      </c>
      <c r="C4" s="5" t="inlineStr">
        <is>
          <t>試す値</t>
        </is>
      </c>
    </row>
    <row r="5">
      <c r="A5" s="6" t="inlineStr">
        <is>
          <t>単発の費用（coin）</t>
        </is>
      </c>
      <c r="B5" s="7" t="n">
        <v>30000</v>
      </c>
      <c r="C5" s="8" t="n">
        <v>30000</v>
      </c>
      <c r="E5" s="3" t="inlineStr">
        <is>
          <t>1回引くのにかかるcoin</t>
        </is>
      </c>
    </row>
    <row r="6">
      <c r="A6" s="6" t="inlineStr">
        <is>
          <t>10連の費用（coin）</t>
        </is>
      </c>
      <c r="B6" s="7" t="n">
        <v>270000</v>
      </c>
      <c r="C6" s="8" t="n">
        <v>270000</v>
      </c>
      <c r="E6" s="3" t="inlineStr">
        <is>
          <t>まとめて引くときの合計coin</t>
        </is>
      </c>
    </row>
    <row r="7">
      <c r="A7" s="6" t="inlineStr">
        <is>
          <t>10連の回数</t>
        </is>
      </c>
      <c r="B7" s="7" t="n">
        <v>10</v>
      </c>
      <c r="C7" s="8" t="n">
        <v>10</v>
      </c>
      <c r="E7" s="3" t="inlineStr">
        <is>
          <t>1回の10連で何体もらえるか</t>
        </is>
      </c>
    </row>
    <row r="8">
      <c r="A8" s="6" t="inlineStr">
        <is>
          <t>保証枠の位置</t>
        </is>
      </c>
      <c r="B8" s="7" t="n">
        <v>10</v>
      </c>
      <c r="C8" s="8" t="n">
        <v>10</v>
      </c>
      <c r="E8" s="3" t="inlineStr">
        <is>
          <t>何体目が保証枠か（10なら最後の1体）</t>
        </is>
      </c>
    </row>
    <row r="10">
      <c r="A10" s="4" t="inlineStr">
        <is>
          <t>■ 排出率（通常枠・千分率。合計を必ず1000にする）</t>
        </is>
      </c>
    </row>
    <row r="11">
      <c r="B11" s="5" t="inlineStr">
        <is>
          <t>現在</t>
        </is>
      </c>
      <c r="C11" s="5" t="inlineStr">
        <is>
          <t>試す値</t>
        </is>
      </c>
      <c r="D11" s="5" t="inlineStr">
        <is>
          <t>％</t>
        </is>
      </c>
    </row>
    <row r="12">
      <c r="A12" s="6" t="inlineStr">
        <is>
          <t>Cランク</t>
        </is>
      </c>
      <c r="B12" s="9" t="n">
        <v>450</v>
      </c>
      <c r="C12" s="10" t="n">
        <v>450</v>
      </c>
      <c r="D12" s="11">
        <f>C12/10</f>
        <v/>
      </c>
    </row>
    <row r="13">
      <c r="A13" s="6" t="inlineStr">
        <is>
          <t>Bランク</t>
        </is>
      </c>
      <c r="B13" s="9" t="n">
        <v>450</v>
      </c>
      <c r="C13" s="10" t="n">
        <v>450</v>
      </c>
      <c r="D13" s="11">
        <f>C13/10</f>
        <v/>
      </c>
    </row>
    <row r="14">
      <c r="A14" s="6" t="inlineStr">
        <is>
          <t>Aランク</t>
        </is>
      </c>
      <c r="B14" s="9" t="n">
        <v>90</v>
      </c>
      <c r="C14" s="10" t="n">
        <v>90</v>
      </c>
      <c r="D14" s="11">
        <f>C14/10</f>
        <v/>
      </c>
    </row>
    <row r="15">
      <c r="A15" s="6" t="inlineStr">
        <is>
          <t>Sランク</t>
        </is>
      </c>
      <c r="B15" s="9" t="n">
        <v>10</v>
      </c>
      <c r="C15" s="10" t="n">
        <v>10</v>
      </c>
      <c r="D15" s="11">
        <f>C15/10</f>
        <v/>
      </c>
    </row>
    <row r="16">
      <c r="A16" s="6" t="inlineStr">
        <is>
          <t>合計</t>
        </is>
      </c>
      <c r="B16" s="9">
        <f>SUM(B12:B15)</f>
        <v/>
      </c>
      <c r="C16" s="9">
        <f>SUM(C12:C15)</f>
        <v/>
      </c>
      <c r="E16" s="12">
        <f>IF(C16=1000,"OK","★合計が1000ではありません")</f>
        <v/>
      </c>
    </row>
    <row r="18">
      <c r="A18" s="4" t="inlineStr">
        <is>
          <t>■ 排出率（10連の保証枠・千分率。合計1000）</t>
        </is>
      </c>
    </row>
    <row r="19">
      <c r="B19" s="5" t="inlineStr">
        <is>
          <t>現在</t>
        </is>
      </c>
      <c r="C19" s="5" t="inlineStr">
        <is>
          <t>試す値</t>
        </is>
      </c>
    </row>
    <row r="20">
      <c r="A20" s="6" t="inlineStr">
        <is>
          <t>Aランク</t>
        </is>
      </c>
      <c r="B20" s="9" t="n">
        <v>900</v>
      </c>
      <c r="C20" s="10" t="n">
        <v>900</v>
      </c>
      <c r="D20" s="11">
        <f>C20/10</f>
        <v/>
      </c>
    </row>
    <row r="21">
      <c r="A21" s="6" t="inlineStr">
        <is>
          <t>Sランク</t>
        </is>
      </c>
      <c r="B21" s="9" t="n">
        <v>100</v>
      </c>
      <c r="C21" s="10" t="n">
        <v>100</v>
      </c>
      <c r="D21" s="11">
        <f>C21/10</f>
        <v/>
      </c>
    </row>
    <row r="22">
      <c r="A22" s="6" t="inlineStr">
        <is>
          <t>合計</t>
        </is>
      </c>
      <c r="B22" s="9">
        <f>SUM(B20:B21)</f>
        <v/>
      </c>
      <c r="C22" s="9">
        <f>SUM(C20:C21)</f>
        <v/>
      </c>
      <c r="E22" s="12">
        <f>IF(C22=1000,"OK","★合計が1000ではありません")</f>
        <v/>
      </c>
    </row>
    <row r="24">
      <c r="A24" s="4" t="inlineStr">
        <is>
          <t>■ 各ランクの使い魔の数</t>
        </is>
      </c>
    </row>
    <row r="25">
      <c r="B25" s="5" t="inlineStr">
        <is>
          <t>現在</t>
        </is>
      </c>
      <c r="C25" s="5" t="inlineStr">
        <is>
          <t>試す値</t>
        </is>
      </c>
    </row>
    <row r="26">
      <c r="A26" s="6" t="inlineStr">
        <is>
          <t>Cランク（体）</t>
        </is>
      </c>
      <c r="B26" s="9" t="n">
        <v>10</v>
      </c>
      <c r="C26" s="10" t="n">
        <v>10</v>
      </c>
      <c r="E26" s="3" t="inlineStr">
        <is>
          <t>数を減らすと、同じ使い魔が出やすくなります（＝合成しやすい）</t>
        </is>
      </c>
    </row>
    <row r="27">
      <c r="A27" s="6" t="inlineStr">
        <is>
          <t>Bランク（体）</t>
        </is>
      </c>
      <c r="B27" s="9" t="n">
        <v>20</v>
      </c>
      <c r="C27" s="10" t="n">
        <v>20</v>
      </c>
      <c r="E27" s="3" t="inlineStr">
        <is>
          <t>数を減らすと、同じ使い魔が出やすくなります（＝合成しやすい）</t>
        </is>
      </c>
    </row>
    <row r="28">
      <c r="A28" s="6" t="inlineStr">
        <is>
          <t>Aランク（体）</t>
        </is>
      </c>
      <c r="B28" s="9" t="n">
        <v>15</v>
      </c>
      <c r="C28" s="10" t="n">
        <v>15</v>
      </c>
      <c r="E28" s="3" t="inlineStr">
        <is>
          <t>数を減らすと、同じ使い魔が出やすくなります（＝合成しやすい）</t>
        </is>
      </c>
    </row>
    <row r="29">
      <c r="A29" s="6" t="inlineStr">
        <is>
          <t>Sランク（体）</t>
        </is>
      </c>
      <c r="B29" s="9" t="n">
        <v>5</v>
      </c>
      <c r="C29" s="10" t="n">
        <v>5</v>
      </c>
      <c r="E29" s="3" t="inlineStr">
        <is>
          <t>数を減らすと、同じ使い魔が出やすくなります（＝合成しやすい）</t>
        </is>
      </c>
    </row>
    <row r="30">
      <c r="A30" s="6" t="inlineStr">
        <is>
          <t>合計</t>
        </is>
      </c>
      <c r="B30" s="9">
        <f>SUM(B26:B29)</f>
        <v/>
      </c>
      <c r="C30" s="9">
        <f>SUM(C26:C29)</f>
        <v/>
      </c>
    </row>
    <row r="32">
      <c r="A32" s="4" t="inlineStr">
        <is>
          <t>■ 成長のしかた</t>
        </is>
      </c>
    </row>
    <row r="33">
      <c r="B33" s="5" t="inlineStr">
        <is>
          <t>現在</t>
        </is>
      </c>
      <c r="C33" s="5" t="inlineStr">
        <is>
          <t>試す値</t>
        </is>
      </c>
    </row>
    <row r="34">
      <c r="A34" s="6" t="inlineStr">
        <is>
          <t>最大レベル</t>
        </is>
      </c>
      <c r="B34" s="9" t="n">
        <v>10</v>
      </c>
      <c r="C34" s="10" t="n">
        <v>10</v>
      </c>
      <c r="E34" s="3" t="inlineStr">
        <is>
          <t>下げると必要な体数が一気に減ります</t>
        </is>
      </c>
    </row>
    <row r="35">
      <c r="A35" s="6" t="inlineStr">
        <is>
          <t>1レベル上げる素材数</t>
        </is>
      </c>
      <c r="B35" s="9" t="n">
        <v>1</v>
      </c>
      <c r="C35" s="10" t="n">
        <v>1</v>
      </c>
      <c r="E35" s="3" t="inlineStr">
        <is>
          <t>必要な体数 =（最大レベル−1）× この数 ＋ 1</t>
        </is>
      </c>
    </row>
    <row r="36">
      <c r="A36" s="6" t="inlineStr">
        <is>
          <t>成長のしかた</t>
        </is>
      </c>
      <c r="B36" s="9" t="inlineStr">
        <is>
          <t>率</t>
        </is>
      </c>
      <c r="C36" s="10" t="inlineStr">
        <is>
          <t>率</t>
        </is>
      </c>
      <c r="E36" s="3" t="inlineStr">
        <is>
          <t>「率」…素の値に対する％で伸びる ／ 「固定」…毎回きまった数だけ増える</t>
        </is>
      </c>
    </row>
    <row r="38">
      <c r="A38" s="4" t="inlineStr">
        <is>
          <t>■ ランクごとの成長量（上の「成長のしかた」に合わせて解釈されます）</t>
        </is>
      </c>
    </row>
    <row r="39">
      <c r="A39" s="13" t="inlineStr">
        <is>
          <t>ランク</t>
        </is>
      </c>
      <c r="B39" s="13" t="inlineStr">
        <is>
          <t>HP</t>
        </is>
      </c>
      <c r="C39" s="13" t="inlineStr">
        <is>
          <t>ATK</t>
        </is>
      </c>
      <c r="D39" s="13" t="inlineStr"/>
      <c r="E39" s="13" t="inlineStr">
        <is>
          <t>説明</t>
        </is>
      </c>
    </row>
    <row r="40">
      <c r="A40" s="6" t="inlineStr">
        <is>
          <t>Cランク</t>
        </is>
      </c>
      <c r="B40" s="10" t="n">
        <v>0.05</v>
      </c>
      <c r="C40" s="10" t="n">
        <v>0.05</v>
      </c>
      <c r="E40" s="3" t="inlineStr">
        <is>
          <t>「率」なら 0.05＝5% ／ 「固定」なら 2＝毎回+2。0にすると合成不可</t>
        </is>
      </c>
    </row>
    <row r="41">
      <c r="A41" s="6" t="inlineStr">
        <is>
          <t>Bランク</t>
        </is>
      </c>
      <c r="B41" s="10" t="n">
        <v>0.05</v>
      </c>
      <c r="C41" s="10" t="n">
        <v>0.05</v>
      </c>
      <c r="E41" s="3" t="inlineStr">
        <is>
          <t>「率」なら 0.05＝5% ／ 「固定」なら 2＝毎回+2。0にすると合成不可</t>
        </is>
      </c>
    </row>
    <row r="42">
      <c r="A42" s="6" t="inlineStr">
        <is>
          <t>Aランク</t>
        </is>
      </c>
      <c r="B42" s="10" t="n">
        <v>0.05</v>
      </c>
      <c r="C42" s="10" t="n">
        <v>0.05</v>
      </c>
      <c r="E42" s="3" t="inlineStr">
        <is>
          <t>「率」なら 0.05＝5% ／ 「固定」なら 2＝毎回+2。0にすると合成不可</t>
        </is>
      </c>
    </row>
    <row r="43">
      <c r="A43" s="6" t="inlineStr">
        <is>
          <t>Sランク</t>
        </is>
      </c>
      <c r="B43" s="10" t="n">
        <v>0.05</v>
      </c>
      <c r="C43" s="10" t="n">
        <v>0.05</v>
      </c>
      <c r="E43" s="3" t="inlineStr">
        <is>
          <t>「率」なら 0.05＝5% ／ 「固定」なら 2＝毎回+2。0にすると合成不可</t>
        </is>
      </c>
    </row>
    <row r="45">
      <c r="A45" s="4" t="inlineStr">
        <is>
          <t>■ プレイヤーの収入</t>
        </is>
      </c>
    </row>
    <row r="46">
      <c r="B46" s="5" t="inlineStr">
        <is>
          <t>現在</t>
        </is>
      </c>
      <c r="C46" s="5" t="inlineStr">
        <is>
          <t>試す値</t>
        </is>
      </c>
    </row>
    <row r="47">
      <c r="A47" s="6" t="inlineStr">
        <is>
          <t>月の収入（coin）</t>
        </is>
      </c>
      <c r="B47" s="7" t="n">
        <v>50000</v>
      </c>
      <c r="C47" s="8" t="n">
        <v>50000</v>
      </c>
      <c r="E47" s="3" t="inlineStr">
        <is>
          <t>本メンバー（騎士）の月次報酬。config.py の値</t>
        </is>
      </c>
    </row>
    <row r="48">
      <c r="A48" s="6" t="inlineStr">
        <is>
          <t>初期coin</t>
        </is>
      </c>
      <c r="B48" s="7" t="n">
        <v>30000</v>
      </c>
      <c r="C48" s="8" t="n">
        <v>30000</v>
      </c>
    </row>
    <row r="50">
      <c r="A50" s="4" t="inlineStr">
        <is>
          <t>■ 売却額と合成費用</t>
        </is>
      </c>
    </row>
    <row r="51">
      <c r="B51" s="5" t="inlineStr">
        <is>
          <t>現在</t>
        </is>
      </c>
      <c r="C51" s="5" t="inlineStr">
        <is>
          <t>試す値</t>
        </is>
      </c>
    </row>
    <row r="52">
      <c r="A52" s="6" t="inlineStr">
        <is>
          <t>Cの売却額（Lv1）</t>
        </is>
      </c>
      <c r="B52" s="7" t="n">
        <v>2000</v>
      </c>
      <c r="C52" s="8" t="n">
        <v>2000</v>
      </c>
    </row>
    <row r="53">
      <c r="A53" s="6" t="inlineStr">
        <is>
          <t>Bの売却額（Lv1）</t>
        </is>
      </c>
      <c r="B53" s="7" t="n">
        <v>5000</v>
      </c>
      <c r="C53" s="8" t="n">
        <v>5000</v>
      </c>
    </row>
    <row r="54">
      <c r="A54" s="6" t="inlineStr">
        <is>
          <t>Aの売却額（Lv1）</t>
        </is>
      </c>
      <c r="B54" s="7" t="n">
        <v>15000</v>
      </c>
      <c r="C54" s="8" t="n">
        <v>15000</v>
      </c>
    </row>
    <row r="55">
      <c r="A55" s="6" t="inlineStr">
        <is>
          <t>Sの売却額（Lv1）</t>
        </is>
      </c>
      <c r="B55" s="7" t="n">
        <v>50000</v>
      </c>
      <c r="C55" s="8" t="n">
        <v>50000</v>
      </c>
    </row>
    <row r="56">
      <c r="A56" s="6" t="inlineStr">
        <is>
          <t>合成費用（売却額比）</t>
        </is>
      </c>
      <c r="B56" s="9" t="n">
        <v>0.5</v>
      </c>
      <c r="C56" s="10" t="n">
        <v>0.5</v>
      </c>
      <c r="E56" s="3" t="inlineStr">
        <is>
          <t>素材1体につきかかる費用。0にすると合成は無料</t>
        </is>
      </c>
    </row>
  </sheetData>
  <mergeCells count="10">
    <mergeCell ref="A50:E50"/>
    <mergeCell ref="A24:E24"/>
    <mergeCell ref="A2:E2"/>
    <mergeCell ref="A38:E38"/>
    <mergeCell ref="A10:E10"/>
    <mergeCell ref="A1:E1"/>
    <mergeCell ref="A45:E45"/>
    <mergeCell ref="A32:E32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8" customWidth="1" min="6" max="6"/>
    <col width="40" customWidth="1" min="7" max="7"/>
  </cols>
  <sheetData>
    <row r="1" ht="22" customHeight="1">
      <c r="A1" s="1" t="inlineStr">
        <is>
          <t xml:space="preserve">  ③ ガチャ試算　— ②パラメータを変えると自動で変わります</t>
        </is>
      </c>
    </row>
    <row r="2">
      <c r="A2" s="3" t="inlineStr">
        <is>
          <t xml:space="preserve">　　一番見てほしいのは「必要な月数」です。ここが現実的かどうかで決めてください。</t>
        </is>
      </c>
    </row>
    <row r="4">
      <c r="A4" s="4" t="inlineStr">
        <is>
          <t>■ 必要な体数</t>
        </is>
      </c>
    </row>
    <row r="5">
      <c r="A5" s="6" t="inlineStr">
        <is>
          <t>最大レベルに必要な体数</t>
        </is>
      </c>
      <c r="B5" s="14">
        <f>('② パラメータ'!C34-1)*'② パラメータ'!C35+1</f>
        <v/>
      </c>
      <c r="G5" s="3" t="inlineStr">
        <is>
          <t>（最大レベル−1）× 1レベルの素材数 ＋ 本体1体</t>
        </is>
      </c>
    </row>
    <row r="7">
      <c r="A7" s="13" t="inlineStr">
        <is>
          <t>ランク</t>
        </is>
      </c>
      <c r="B7" s="13" t="inlineStr">
        <is>
          <t>使い魔の数</t>
        </is>
      </c>
      <c r="C7" s="13" t="inlineStr">
        <is>
          <t>特定1体の確率(単発)</t>
        </is>
      </c>
      <c r="D7" s="13" t="inlineStr">
        <is>
          <t>10連での期待数</t>
        </is>
      </c>
      <c r="E7" s="13" t="inlineStr">
        <is>
          <t>必要な10連回数</t>
        </is>
      </c>
      <c r="F7" s="13" t="inlineStr">
        <is>
          <t>必要coin</t>
        </is>
      </c>
      <c r="G7" s="13" t="inlineStr">
        <is>
          <t>本メンバーの月収入で</t>
        </is>
      </c>
    </row>
    <row r="8">
      <c r="A8" s="6" t="inlineStr">
        <is>
          <t>Cランク</t>
        </is>
      </c>
      <c r="B8" s="9">
        <f>'② パラメータ'!C26</f>
        <v/>
      </c>
      <c r="C8" s="15">
        <f>IF('② パラメータ'!C26=0,0,'② パラメータ'!C12/1000/'② パラメータ'!C26)</f>
        <v/>
      </c>
      <c r="D8" s="16">
        <f>IF('② パラメータ'!C26=0,0,('② パラメータ'!C7-1)*'② パラメータ'!C12/1000/'② パラメータ'!C26)</f>
        <v/>
      </c>
      <c r="E8" s="7">
        <f>IF(D8=0,"—",$B$5/D8)</f>
        <v/>
      </c>
      <c r="F8" s="7">
        <f>IF(D8=0,"—",E8*'② パラメータ'!C6)</f>
        <v/>
      </c>
      <c r="G8" s="9">
        <f>IF(D8=0,"—",TEXT(F8/'② パラメータ'!C47,"#,##0")&amp;"か月")</f>
        <v/>
      </c>
    </row>
    <row r="9">
      <c r="A9" s="6" t="inlineStr">
        <is>
          <t>Bランク</t>
        </is>
      </c>
      <c r="B9" s="9">
        <f>'② パラメータ'!C27</f>
        <v/>
      </c>
      <c r="C9" s="15">
        <f>IF('② パラメータ'!C27=0,0,'② パラメータ'!C13/1000/'② パラメータ'!C27)</f>
        <v/>
      </c>
      <c r="D9" s="16">
        <f>IF('② パラメータ'!C27=0,0,('② パラメータ'!C7-1)*'② パラメータ'!C13/1000/'② パラメータ'!C27)</f>
        <v/>
      </c>
      <c r="E9" s="7">
        <f>IF(D9=0,"—",$B$5/D9)</f>
        <v/>
      </c>
      <c r="F9" s="7">
        <f>IF(D9=0,"—",E9*'② パラメータ'!C6)</f>
        <v/>
      </c>
      <c r="G9" s="9">
        <f>IF(D9=0,"—",TEXT(F9/'② パラメータ'!C47,"#,##0")&amp;"か月")</f>
        <v/>
      </c>
    </row>
    <row r="10">
      <c r="A10" s="6" t="inlineStr">
        <is>
          <t>Aランク</t>
        </is>
      </c>
      <c r="B10" s="9">
        <f>'② パラメータ'!C28</f>
        <v/>
      </c>
      <c r="C10" s="15">
        <f>IF('② パラメータ'!C28=0,0,'② パラメータ'!C14/1000/'② パラメータ'!C28)</f>
        <v/>
      </c>
      <c r="D10" s="16">
        <f>IF('② パラメータ'!C28=0,0,('② パラメータ'!C7-1)*'② パラメータ'!C14/1000/'② パラメータ'!C28+'② パラメータ'!C20/1000/'② パラメータ'!C28)</f>
        <v/>
      </c>
      <c r="E10" s="7">
        <f>IF(D10=0,"—",$B$5/D10)</f>
        <v/>
      </c>
      <c r="F10" s="7">
        <f>IF(D10=0,"—",E10*'② パラメータ'!C6)</f>
        <v/>
      </c>
      <c r="G10" s="9">
        <f>IF(D10=0,"—",TEXT(F10/'② パラメータ'!C47,"#,##0")&amp;"か月")</f>
        <v/>
      </c>
    </row>
    <row r="11">
      <c r="A11" s="6" t="inlineStr">
        <is>
          <t>Sランク</t>
        </is>
      </c>
      <c r="B11" s="9">
        <f>'② パラメータ'!C29</f>
        <v/>
      </c>
      <c r="C11" s="15">
        <f>IF('② パラメータ'!C29=0,0,'② パラメータ'!C15/1000/'② パラメータ'!C29)</f>
        <v/>
      </c>
      <c r="D11" s="16">
        <f>IF('② パラメータ'!C29=0,0,('② パラメータ'!C7-1)*'② パラメータ'!C15/1000/'② パラメータ'!C29+'② パラメータ'!C21/1000/'② パラメータ'!C29)</f>
        <v/>
      </c>
      <c r="E11" s="7">
        <f>IF(D11=0,"—",$B$5/D11)</f>
        <v/>
      </c>
      <c r="F11" s="7">
        <f>IF(D11=0,"—",E11*'② パラメータ'!C6)</f>
        <v/>
      </c>
      <c r="G11" s="9">
        <f>IF(D11=0,"—",TEXT(F11/'② パラメータ'!C47,"#,##0")&amp;"か月")</f>
        <v/>
      </c>
    </row>
    <row r="13">
      <c r="A13" s="4" t="inlineStr">
        <is>
          <t>■ 目安</t>
        </is>
      </c>
    </row>
    <row r="14">
      <c r="A14" s="3" t="inlineStr">
        <is>
          <t xml:space="preserve">　1〜3か月　… すぐ手が届く。Cランク向き</t>
        </is>
      </c>
    </row>
    <row r="15">
      <c r="A15" s="3" t="inlineStr">
        <is>
          <t xml:space="preserve">　3〜12か月　… 目標として良い。B〜Aランク向き</t>
        </is>
      </c>
    </row>
    <row r="16">
      <c r="A16" s="3" t="inlineStr">
        <is>
          <t xml:space="preserve">　1〜3年　　… 長期目標。Sランク向き</t>
        </is>
      </c>
    </row>
    <row r="17">
      <c r="A17" s="3" t="inlineStr">
        <is>
          <t xml:space="preserve">　3年以上　　… 事実上とどきません。設定を見直してください</t>
        </is>
      </c>
    </row>
    <row r="19">
      <c r="A19" s="4" t="inlineStr">
        <is>
          <t>■ 参考：1か月に引ける回数</t>
        </is>
      </c>
    </row>
    <row r="20">
      <c r="A20" s="6" t="inlineStr">
        <is>
          <t>単発で</t>
        </is>
      </c>
      <c r="B20" s="17">
        <f>'② パラメータ'!C47/'② パラメータ'!C5</f>
        <v/>
      </c>
      <c r="G20" s="3" t="inlineStr">
        <is>
          <t>月の収入 ÷ 単発の費用</t>
        </is>
      </c>
    </row>
    <row r="21">
      <c r="A21" s="6" t="inlineStr">
        <is>
          <t>10連で</t>
        </is>
      </c>
      <c r="B21" s="18">
        <f>'② パラメータ'!C47/'② パラメータ'!C6</f>
        <v/>
      </c>
      <c r="G21" s="3" t="inlineStr">
        <is>
          <t>月の収入 ÷ 10連の費用</t>
        </is>
      </c>
    </row>
    <row r="23">
      <c r="A23" s="4" t="inlineStr">
        <is>
          <t>■ 参考：1年で手に入る使い魔の数</t>
        </is>
      </c>
    </row>
    <row r="24">
      <c r="A24" s="6" t="inlineStr">
        <is>
          <t>10連を回し続けた場合</t>
        </is>
      </c>
      <c r="B24" s="7">
        <f>('② パラメータ'!C47*12/'② パラメータ'!C6)*'② パラメータ'!C7</f>
        <v/>
      </c>
      <c r="G24" s="3" t="inlineStr">
        <is>
          <t>年収入 ÷ 10連費用 × 1回の体数</t>
        </is>
      </c>
    </row>
  </sheetData>
  <mergeCells count="10">
    <mergeCell ref="A13:G13"/>
    <mergeCell ref="A14:G14"/>
    <mergeCell ref="A1:G1"/>
    <mergeCell ref="A17:G17"/>
    <mergeCell ref="A4:G4"/>
    <mergeCell ref="A2:G2"/>
    <mergeCell ref="A16:G16"/>
    <mergeCell ref="A15:G15"/>
    <mergeCell ref="A19:G19"/>
    <mergeCell ref="A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34" customWidth="1" min="8" max="8"/>
  </cols>
  <sheetData>
    <row r="1" ht="22" customHeight="1">
      <c r="A1" s="1" t="inlineStr">
        <is>
          <t xml:space="preserve">  ④ 成長試算　— ランクごとの平均能力値</t>
        </is>
      </c>
    </row>
    <row r="2">
      <c r="A2" s="3" t="inlineStr">
        <is>
          <t xml:space="preserve">　　②パラメータの「成長のしかた」と「ランクごとの成長量」を変えると動きます。</t>
        </is>
      </c>
    </row>
    <row r="4">
      <c r="A4" s="13" t="inlineStr">
        <is>
          <t>ランク</t>
        </is>
      </c>
      <c r="B4" s="13" t="inlineStr">
        <is>
          <t>素のHP</t>
        </is>
      </c>
      <c r="C4" s="13" t="inlineStr">
        <is>
          <t>素のATK</t>
        </is>
      </c>
      <c r="D4" s="13" t="inlineStr">
        <is>
          <t>最終HP</t>
        </is>
      </c>
      <c r="E4" s="13" t="inlineStr">
        <is>
          <t>最終ATK</t>
        </is>
      </c>
      <c r="F4" s="13" t="inlineStr">
        <is>
          <t>HP倍率</t>
        </is>
      </c>
      <c r="G4" s="13" t="inlineStr">
        <is>
          <t>ATK倍率</t>
        </is>
      </c>
      <c r="H4" s="13" t="inlineStr">
        <is>
          <t>備考</t>
        </is>
      </c>
    </row>
    <row r="5">
      <c r="A5" s="6" t="inlineStr">
        <is>
          <t>Cランク</t>
        </is>
      </c>
      <c r="B5" s="17" t="n">
        <v>25.2</v>
      </c>
      <c r="C5" s="17" t="n">
        <v>5.7</v>
      </c>
      <c r="D5" s="17">
        <f>IF('② パラメータ'!C36="率",B5*(1+'② パラメータ'!B40*('② パラメータ'!C34-1)),B5+'② パラメータ'!B40*('② パラメータ'!C34-1))</f>
        <v/>
      </c>
      <c r="E5" s="17">
        <f>IF('② パラメータ'!C36="率",C5*(1+'② パラメータ'!C40*('② パラメータ'!C34-1)),C5+'② パラメータ'!C40*('② パラメータ'!C34-1))</f>
        <v/>
      </c>
      <c r="F5" s="19">
        <f>IF(B5=0,0,D5/B5)</f>
        <v/>
      </c>
      <c r="G5" s="19">
        <f>IF(C5=0,0,E5/C5)</f>
        <v/>
      </c>
    </row>
    <row r="6">
      <c r="A6" s="6" t="inlineStr">
        <is>
          <t>Bランク</t>
        </is>
      </c>
      <c r="B6" s="17" t="n">
        <v>29.6</v>
      </c>
      <c r="C6" s="17" t="n">
        <v>7</v>
      </c>
      <c r="D6" s="17">
        <f>IF('② パラメータ'!C36="率",B6*(1+'② パラメータ'!B41*('② パラメータ'!C34-1)),B6+'② パラメータ'!B41*('② パラメータ'!C34-1))</f>
        <v/>
      </c>
      <c r="E6" s="17">
        <f>IF('② パラメータ'!C36="率",C6*(1+'② パラメータ'!C41*('② パラメータ'!C34-1)),C6+'② パラメータ'!C41*('② パラメータ'!C34-1))</f>
        <v/>
      </c>
      <c r="F6" s="19">
        <f>IF(B6=0,0,D6/B6)</f>
        <v/>
      </c>
      <c r="G6" s="19">
        <f>IF(C6=0,0,E6/C6)</f>
        <v/>
      </c>
    </row>
    <row r="7">
      <c r="A7" s="6" t="inlineStr">
        <is>
          <t>Aランク</t>
        </is>
      </c>
      <c r="B7" s="17" t="n">
        <v>37.1</v>
      </c>
      <c r="C7" s="17" t="n">
        <v>8.6</v>
      </c>
      <c r="D7" s="17">
        <f>IF('② パラメータ'!C36="率",B7*(1+'② パラメータ'!B42*('② パラメータ'!C34-1)),B7+'② パラメータ'!B42*('② パラメータ'!C34-1))</f>
        <v/>
      </c>
      <c r="E7" s="17">
        <f>IF('② パラメータ'!C36="率",C7*(1+'② パラメータ'!C42*('② パラメータ'!C34-1)),C7+'② パラメータ'!C42*('② パラメータ'!C34-1))</f>
        <v/>
      </c>
      <c r="F7" s="19">
        <f>IF(B7=0,0,D7/B7)</f>
        <v/>
      </c>
      <c r="G7" s="19">
        <f>IF(C7=0,0,E7/C7)</f>
        <v/>
      </c>
    </row>
    <row r="8">
      <c r="A8" s="6" t="inlineStr">
        <is>
          <t>Sランク</t>
        </is>
      </c>
      <c r="B8" s="17" t="n">
        <v>46.4</v>
      </c>
      <c r="C8" s="17" t="n">
        <v>8.4</v>
      </c>
      <c r="D8" s="17">
        <f>IF('② パラメータ'!C36="率",B8*(1+'② パラメータ'!B43*('② パラメータ'!C34-1)),B8+'② パラメータ'!B43*('② パラメータ'!C34-1))</f>
        <v/>
      </c>
      <c r="E8" s="17">
        <f>IF('② パラメータ'!C36="率",C8*(1+'② パラメータ'!C43*('② パラメータ'!C34-1)),C8+'② パラメータ'!C43*('② パラメータ'!C34-1))</f>
        <v/>
      </c>
      <c r="F8" s="19">
        <f>IF(B8=0,0,D8/B8)</f>
        <v/>
      </c>
      <c r="G8" s="19">
        <f>IF(C8=0,0,E8/C8)</f>
        <v/>
      </c>
    </row>
    <row r="10">
      <c r="A10" s="4" t="inlineStr">
        <is>
          <t>■ 見るときのポイント</t>
        </is>
      </c>
    </row>
    <row r="11">
      <c r="A11" s="3" t="inlineStr">
        <is>
          <t xml:space="preserve">　・ATKの素の値は4〜11しかありません。「固定」で+1すると1回で10〜25%増える計算になります。</t>
        </is>
      </c>
    </row>
    <row r="12">
      <c r="A12" s="3" t="inlineStr">
        <is>
          <t xml:space="preserve">　・SはAよりATKもSPDも低めです（S=8.4 / A=8.6）。Sの強みはHPとスキルとCOSTです。</t>
        </is>
      </c>
    </row>
    <row r="13">
      <c r="A13" s="3" t="inlineStr">
        <is>
          <t xml:space="preserve">　　「ランクが上＝ATKも上」にすると、素のデータには無い序列を後から作ることになります。</t>
        </is>
      </c>
    </row>
    <row r="14">
      <c r="A14" s="3" t="inlineStr">
        <is>
          <t xml:space="preserve">　・スキルはATK・最大HPの割合で効くため、能力値を上げるとスキル威力も一緒に上がります（⑥参照）。</t>
        </is>
      </c>
    </row>
  </sheetData>
  <mergeCells count="7">
    <mergeCell ref="A12:H12"/>
    <mergeCell ref="A2:H2"/>
    <mergeCell ref="A10:H10"/>
    <mergeCell ref="A13:H13"/>
    <mergeCell ref="A11:H11"/>
    <mergeCell ref="A14:H14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6" customWidth="1" min="2" max="2"/>
    <col width="8" customWidth="1" min="3" max="3"/>
    <col width="8" customWidth="1" min="4" max="4"/>
    <col width="8" customWidth="1" min="5" max="5"/>
    <col width="7" customWidth="1" min="6" max="6"/>
    <col width="8" customWidth="1" min="7" max="7"/>
    <col width="10" customWidth="1" min="8" max="8"/>
    <col width="10" customWidth="1" min="9" max="9"/>
    <col width="12" customWidth="1" min="10" max="10"/>
  </cols>
  <sheetData>
    <row r="1" ht="22" customHeight="1">
      <c r="A1" s="1" t="inlineStr">
        <is>
          <t xml:space="preserve">  ⑤ 使い魔一覧　— 素の能力値と、最大レベルでの能力値</t>
        </is>
      </c>
    </row>
    <row r="2">
      <c r="A2" s="3" t="inlineStr">
        <is>
          <t xml:space="preserve">　　素の能力値は data/master/familiars.json の値です。ここを変えても反映されません。</t>
        </is>
      </c>
    </row>
    <row r="4">
      <c r="A4" s="13" t="inlineStr">
        <is>
          <t>名前</t>
        </is>
      </c>
      <c r="B4" s="13" t="inlineStr">
        <is>
          <t>ランク</t>
        </is>
      </c>
      <c r="C4" s="13" t="inlineStr">
        <is>
          <t>素のHP</t>
        </is>
      </c>
      <c r="D4" s="13" t="inlineStr">
        <is>
          <t>素のATK</t>
        </is>
      </c>
      <c r="E4" s="13" t="inlineStr">
        <is>
          <t>SPD</t>
        </is>
      </c>
      <c r="F4" s="13" t="inlineStr">
        <is>
          <t>COST</t>
        </is>
      </c>
      <c r="G4" s="13" t="inlineStr">
        <is>
          <t>性別</t>
        </is>
      </c>
      <c r="H4" s="13" t="inlineStr">
        <is>
          <t>最終HP</t>
        </is>
      </c>
      <c r="I4" s="13" t="inlineStr">
        <is>
          <t>最終ATK</t>
        </is>
      </c>
      <c r="J4" s="13" t="inlineStr">
        <is>
          <t>売却額(Lv1)</t>
        </is>
      </c>
    </row>
    <row r="5">
      <c r="A5" s="6" t="inlineStr">
        <is>
          <t>フェンリル</t>
        </is>
      </c>
      <c r="B5" s="6" t="inlineStr">
        <is>
          <t>S</t>
        </is>
      </c>
      <c r="C5" s="6" t="n">
        <v>34</v>
      </c>
      <c r="D5" s="6" t="n">
        <v>11</v>
      </c>
      <c r="E5" s="6" t="n">
        <v>95</v>
      </c>
      <c r="F5" s="6" t="n">
        <v>5</v>
      </c>
      <c r="G5" s="6" t="inlineStr">
        <is>
          <t>男性</t>
        </is>
      </c>
      <c r="H5" s="14">
        <f>ROUND(IF('② パラメータ'!C36="率",C5*(1+'② パラメータ'!B43*('② パラメータ'!C34-1)),C5+'② パラメータ'!B43*('② パラメータ'!C34-1)),0)</f>
        <v/>
      </c>
      <c r="I5" s="14">
        <f>ROUND(IF('② パラメータ'!C36="率",D5*(1+'② パラメータ'!C43*('② パラメータ'!C34-1)),D5+'② パラメータ'!C43*('② パラメータ'!C34-1)),0)</f>
        <v/>
      </c>
      <c r="J5" s="7">
        <f>'② パラメータ'!C55</f>
        <v/>
      </c>
    </row>
    <row r="6">
      <c r="A6" s="6" t="inlineStr">
        <is>
          <t>スルト</t>
        </is>
      </c>
      <c r="B6" s="6" t="inlineStr">
        <is>
          <t>S</t>
        </is>
      </c>
      <c r="C6" s="6" t="n">
        <v>42</v>
      </c>
      <c r="D6" s="6" t="n">
        <v>10</v>
      </c>
      <c r="E6" s="6" t="n">
        <v>18</v>
      </c>
      <c r="F6" s="6" t="n">
        <v>5</v>
      </c>
      <c r="G6" s="6" t="inlineStr">
        <is>
          <t>男性</t>
        </is>
      </c>
      <c r="H6" s="14">
        <f>ROUND(IF('② パラメータ'!C36="率",C6*(1+'② パラメータ'!B43*('② パラメータ'!C34-1)),C6+'② パラメータ'!B43*('② パラメータ'!C34-1)),0)</f>
        <v/>
      </c>
      <c r="I6" s="14">
        <f>ROUND(IF('② パラメータ'!C36="率",D6*(1+'② パラメータ'!C43*('② パラメータ'!C34-1)),D6+'② パラメータ'!C43*('② パラメータ'!C34-1)),0)</f>
        <v/>
      </c>
      <c r="J6" s="7">
        <f>'② パラメータ'!C55</f>
        <v/>
      </c>
    </row>
    <row r="7">
      <c r="A7" s="6" t="inlineStr">
        <is>
          <t>ロキ</t>
        </is>
      </c>
      <c r="B7" s="6" t="inlineStr">
        <is>
          <t>S</t>
        </is>
      </c>
      <c r="C7" s="6" t="n">
        <v>46</v>
      </c>
      <c r="D7" s="6" t="n">
        <v>8</v>
      </c>
      <c r="E7" s="6" t="n">
        <v>84</v>
      </c>
      <c r="F7" s="6" t="n">
        <v>5</v>
      </c>
      <c r="G7" s="6" t="inlineStr">
        <is>
          <t>男性</t>
        </is>
      </c>
      <c r="H7" s="14">
        <f>ROUND(IF('② パラメータ'!C36="率",C7*(1+'② パラメータ'!B43*('② パラメータ'!C34-1)),C7+'② パラメータ'!B43*('② パラメータ'!C34-1)),0)</f>
        <v/>
      </c>
      <c r="I7" s="14">
        <f>ROUND(IF('② パラメータ'!C36="率",D7*(1+'② パラメータ'!C43*('② パラメータ'!C34-1)),D7+'② パラメータ'!C43*('② パラメータ'!C34-1)),0)</f>
        <v/>
      </c>
      <c r="J7" s="7">
        <f>'② パラメータ'!C55</f>
        <v/>
      </c>
    </row>
    <row r="8">
      <c r="A8" s="6" t="inlineStr">
        <is>
          <t>ヨルムンガンド</t>
        </is>
      </c>
      <c r="B8" s="6" t="inlineStr">
        <is>
          <t>S</t>
        </is>
      </c>
      <c r="C8" s="6" t="n">
        <v>52</v>
      </c>
      <c r="D8" s="6" t="n">
        <v>7</v>
      </c>
      <c r="E8" s="6" t="n">
        <v>55</v>
      </c>
      <c r="F8" s="6" t="n">
        <v>5</v>
      </c>
      <c r="G8" s="6" t="inlineStr">
        <is>
          <t>男性</t>
        </is>
      </c>
      <c r="H8" s="14">
        <f>ROUND(IF('② パラメータ'!C36="率",C8*(1+'② パラメータ'!B43*('② パラメータ'!C34-1)),C8+'② パラメータ'!B43*('② パラメータ'!C34-1)),0)</f>
        <v/>
      </c>
      <c r="I8" s="14">
        <f>ROUND(IF('② パラメータ'!C36="率",D8*(1+'② パラメータ'!C43*('② パラメータ'!C34-1)),D8+'② パラメータ'!C43*('② パラメータ'!C34-1)),0)</f>
        <v/>
      </c>
      <c r="J8" s="7">
        <f>'② パラメータ'!C55</f>
        <v/>
      </c>
    </row>
    <row r="9">
      <c r="A9" s="6" t="inlineStr">
        <is>
          <t>ヘル</t>
        </is>
      </c>
      <c r="B9" s="6" t="inlineStr">
        <is>
          <t>S</t>
        </is>
      </c>
      <c r="C9" s="6" t="n">
        <v>58</v>
      </c>
      <c r="D9" s="6" t="n">
        <v>6</v>
      </c>
      <c r="E9" s="6" t="n">
        <v>5</v>
      </c>
      <c r="F9" s="6" t="n">
        <v>5</v>
      </c>
      <c r="G9" s="6" t="inlineStr">
        <is>
          <t>女性</t>
        </is>
      </c>
      <c r="H9" s="14">
        <f>ROUND(IF('② パラメータ'!C36="率",C9*(1+'② パラメータ'!B43*('② パラメータ'!C34-1)),C9+'② パラメータ'!B43*('② パラメータ'!C34-1)),0)</f>
        <v/>
      </c>
      <c r="I9" s="14">
        <f>ROUND(IF('② パラメータ'!C36="率",D9*(1+'② パラメータ'!C43*('② パラメータ'!C34-1)),D9+'② パラメータ'!C43*('② パラメータ'!C34-1)),0)</f>
        <v/>
      </c>
      <c r="J9" s="7">
        <f>'② パラメータ'!C55</f>
        <v/>
      </c>
    </row>
    <row r="10">
      <c r="A10" s="6" t="inlineStr">
        <is>
          <t>アスモデウス</t>
        </is>
      </c>
      <c r="B10" s="6" t="inlineStr">
        <is>
          <t>A</t>
        </is>
      </c>
      <c r="C10" s="6" t="n">
        <v>30</v>
      </c>
      <c r="D10" s="6" t="n">
        <v>10</v>
      </c>
      <c r="E10" s="6" t="n">
        <v>82</v>
      </c>
      <c r="F10" s="6" t="n">
        <v>4</v>
      </c>
      <c r="G10" s="6" t="inlineStr">
        <is>
          <t>男性</t>
        </is>
      </c>
      <c r="H10" s="14">
        <f>ROUND(IF('② パラメータ'!C36="率",C10*(1+'② パラメータ'!B42*('② パラメータ'!C34-1)),C10+'② パラメータ'!B42*('② パラメータ'!C34-1)),0)</f>
        <v/>
      </c>
      <c r="I10" s="14">
        <f>ROUND(IF('② パラメータ'!C36="率",D10*(1+'② パラメータ'!C42*('② パラメータ'!C34-1)),D10+'② パラメータ'!C42*('② パラメータ'!C34-1)),0)</f>
        <v/>
      </c>
      <c r="J10" s="7">
        <f>'② パラメータ'!C54</f>
        <v/>
      </c>
    </row>
    <row r="11">
      <c r="A11" s="6" t="inlineStr">
        <is>
          <t>マモン</t>
        </is>
      </c>
      <c r="B11" s="6" t="inlineStr">
        <is>
          <t>A</t>
        </is>
      </c>
      <c r="C11" s="6" t="n">
        <v>31</v>
      </c>
      <c r="D11" s="6" t="n">
        <v>10</v>
      </c>
      <c r="E11" s="6" t="n">
        <v>68</v>
      </c>
      <c r="F11" s="6" t="n">
        <v>4</v>
      </c>
      <c r="G11" s="6" t="inlineStr">
        <is>
          <t>男性</t>
        </is>
      </c>
      <c r="H11" s="14">
        <f>ROUND(IF('② パラメータ'!C36="率",C11*(1+'② パラメータ'!B42*('② パラメータ'!C34-1)),C11+'② パラメータ'!B42*('② パラメータ'!C34-1)),0)</f>
        <v/>
      </c>
      <c r="I11" s="14">
        <f>ROUND(IF('② パラメータ'!C36="率",D11*(1+'② パラメータ'!C42*('② パラメータ'!C34-1)),D11+'② パラメータ'!C42*('② パラメータ'!C34-1)),0)</f>
        <v/>
      </c>
      <c r="J11" s="7">
        <f>'② パラメータ'!C54</f>
        <v/>
      </c>
    </row>
    <row r="12">
      <c r="A12" s="6" t="inlineStr">
        <is>
          <t>アバドン</t>
        </is>
      </c>
      <c r="B12" s="6" t="inlineStr">
        <is>
          <t>A</t>
        </is>
      </c>
      <c r="C12" s="6" t="n">
        <v>32</v>
      </c>
      <c r="D12" s="6" t="n">
        <v>10</v>
      </c>
      <c r="E12" s="6" t="n">
        <v>52</v>
      </c>
      <c r="F12" s="6" t="n">
        <v>4</v>
      </c>
      <c r="G12" s="6" t="inlineStr">
        <is>
          <t>男性</t>
        </is>
      </c>
      <c r="H12" s="14">
        <f>ROUND(IF('② パラメータ'!C36="率",C12*(1+'② パラメータ'!B42*('② パラメータ'!C34-1)),C12+'② パラメータ'!B42*('② パラメータ'!C34-1)),0)</f>
        <v/>
      </c>
      <c r="I12" s="14">
        <f>ROUND(IF('② パラメータ'!C36="率",D12*(1+'② パラメータ'!C42*('② パラメータ'!C34-1)),D12+'② パラメータ'!C42*('② パラメータ'!C34-1)),0)</f>
        <v/>
      </c>
      <c r="J12" s="7">
        <f>'② パラメータ'!C54</f>
        <v/>
      </c>
    </row>
    <row r="13">
      <c r="A13" s="6" t="inlineStr">
        <is>
          <t>サタン</t>
        </is>
      </c>
      <c r="B13" s="6" t="inlineStr">
        <is>
          <t>A</t>
        </is>
      </c>
      <c r="C13" s="6" t="n">
        <v>36</v>
      </c>
      <c r="D13" s="6" t="n">
        <v>9</v>
      </c>
      <c r="E13" s="6" t="n">
        <v>46</v>
      </c>
      <c r="F13" s="6" t="n">
        <v>4</v>
      </c>
      <c r="G13" s="6" t="inlineStr">
        <is>
          <t>男性</t>
        </is>
      </c>
      <c r="H13" s="14">
        <f>ROUND(IF('② パラメータ'!C36="率",C13*(1+'② パラメータ'!B42*('② パラメータ'!C34-1)),C13+'② パラメータ'!B42*('② パラメータ'!C34-1)),0)</f>
        <v/>
      </c>
      <c r="I13" s="14">
        <f>ROUND(IF('② パラメータ'!C36="率",D13*(1+'② パラメータ'!C42*('② パラメータ'!C34-1)),D13+'② パラメータ'!C42*('② パラメータ'!C34-1)),0)</f>
        <v/>
      </c>
      <c r="J13" s="7">
        <f>'② パラメータ'!C54</f>
        <v/>
      </c>
    </row>
    <row r="14">
      <c r="A14" s="6" t="inlineStr">
        <is>
          <t>ニーズヘッグ</t>
        </is>
      </c>
      <c r="B14" s="6" t="inlineStr">
        <is>
          <t>A</t>
        </is>
      </c>
      <c r="C14" s="6" t="n">
        <v>36</v>
      </c>
      <c r="D14" s="6" t="n">
        <v>9</v>
      </c>
      <c r="E14" s="6" t="n">
        <v>50</v>
      </c>
      <c r="F14" s="6" t="n">
        <v>4</v>
      </c>
      <c r="G14" s="6" t="inlineStr">
        <is>
          <t>男性</t>
        </is>
      </c>
      <c r="H14" s="14">
        <f>ROUND(IF('② パラメータ'!C36="率",C14*(1+'② パラメータ'!B42*('② パラメータ'!C34-1)),C14+'② パラメータ'!B42*('② パラメータ'!C34-1)),0)</f>
        <v/>
      </c>
      <c r="I14" s="14">
        <f>ROUND(IF('② パラメータ'!C36="率",D14*(1+'② パラメータ'!C42*('② パラメータ'!C34-1)),D14+'② パラメータ'!C42*('② パラメータ'!C34-1)),0)</f>
        <v/>
      </c>
      <c r="J14" s="7">
        <f>'② パラメータ'!C54</f>
        <v/>
      </c>
    </row>
    <row r="15">
      <c r="A15" s="6" t="inlineStr">
        <is>
          <t>ベリアル</t>
        </is>
      </c>
      <c r="B15" s="6" t="inlineStr">
        <is>
          <t>A</t>
        </is>
      </c>
      <c r="C15" s="6" t="n">
        <v>34</v>
      </c>
      <c r="D15" s="6" t="n">
        <v>9</v>
      </c>
      <c r="E15" s="6" t="n">
        <v>92</v>
      </c>
      <c r="F15" s="6" t="n">
        <v>4</v>
      </c>
      <c r="G15" s="6" t="inlineStr">
        <is>
          <t>男性</t>
        </is>
      </c>
      <c r="H15" s="14">
        <f>ROUND(IF('② パラメータ'!C36="率",C15*(1+'② パラメータ'!B42*('② パラメータ'!C34-1)),C15+'② パラメータ'!B42*('② パラメータ'!C34-1)),0)</f>
        <v/>
      </c>
      <c r="I15" s="14">
        <f>ROUND(IF('② パラメータ'!C36="率",D15*(1+'② パラメータ'!C42*('② パラメータ'!C34-1)),D15+'② パラメータ'!C42*('② パラメータ'!C34-1)),0)</f>
        <v/>
      </c>
      <c r="J15" s="7">
        <f>'② パラメータ'!C54</f>
        <v/>
      </c>
    </row>
    <row r="16">
      <c r="A16" s="6" t="inlineStr">
        <is>
          <t>キュウビ</t>
        </is>
      </c>
      <c r="B16" s="6" t="inlineStr">
        <is>
          <t>A</t>
        </is>
      </c>
      <c r="C16" s="6" t="n">
        <v>34</v>
      </c>
      <c r="D16" s="6" t="n">
        <v>9</v>
      </c>
      <c r="E16" s="6" t="n">
        <v>97</v>
      </c>
      <c r="F16" s="6" t="n">
        <v>4</v>
      </c>
      <c r="G16" s="6" t="inlineStr">
        <is>
          <t>女性</t>
        </is>
      </c>
      <c r="H16" s="14">
        <f>ROUND(IF('② パラメータ'!C36="率",C16*(1+'② パラメータ'!B42*('② パラメータ'!C34-1)),C16+'② パラメータ'!B42*('② パラメータ'!C34-1)),0)</f>
        <v/>
      </c>
      <c r="I16" s="14">
        <f>ROUND(IF('② パラメータ'!C36="率",D16*(1+'② パラメータ'!C42*('② パラメータ'!C34-1)),D16+'② パラメータ'!C42*('② パラメータ'!C34-1)),0)</f>
        <v/>
      </c>
      <c r="J16" s="7">
        <f>'② パラメータ'!C54</f>
        <v/>
      </c>
    </row>
    <row r="17">
      <c r="A17" s="6" t="inlineStr">
        <is>
          <t>リリス</t>
        </is>
      </c>
      <c r="B17" s="6" t="inlineStr">
        <is>
          <t>A</t>
        </is>
      </c>
      <c r="C17" s="6" t="n">
        <v>35</v>
      </c>
      <c r="D17" s="6" t="n">
        <v>9</v>
      </c>
      <c r="E17" s="6" t="n">
        <v>74</v>
      </c>
      <c r="F17" s="6" t="n">
        <v>4</v>
      </c>
      <c r="G17" s="6" t="inlineStr">
        <is>
          <t>女性</t>
        </is>
      </c>
      <c r="H17" s="14">
        <f>ROUND(IF('② パラメータ'!C36="率",C17*(1+'② パラメータ'!B42*('② パラメータ'!C34-1)),C17+'② パラメータ'!B42*('② パラメータ'!C34-1)),0)</f>
        <v/>
      </c>
      <c r="I17" s="14">
        <f>ROUND(IF('② パラメータ'!C36="率",D17*(1+'② パラメータ'!C42*('② パラメータ'!C34-1)),D17+'② パラメータ'!C42*('② パラメータ'!C34-1)),0)</f>
        <v/>
      </c>
      <c r="J17" s="7">
        <f>'② パラメータ'!C54</f>
        <v/>
      </c>
    </row>
    <row r="18">
      <c r="A18" s="6" t="inlineStr">
        <is>
          <t>フェニックス</t>
        </is>
      </c>
      <c r="B18" s="6" t="inlineStr">
        <is>
          <t>A</t>
        </is>
      </c>
      <c r="C18" s="6" t="n">
        <v>35</v>
      </c>
      <c r="D18" s="6" t="n">
        <v>9</v>
      </c>
      <c r="E18" s="6" t="n">
        <v>64</v>
      </c>
      <c r="F18" s="6" t="n">
        <v>4</v>
      </c>
      <c r="G18" s="6" t="inlineStr">
        <is>
          <t>なし</t>
        </is>
      </c>
      <c r="H18" s="14">
        <f>ROUND(IF('② パラメータ'!C36="率",C18*(1+'② パラメータ'!B42*('② パラメータ'!C34-1)),C18+'② パラメータ'!B42*('② パラメータ'!C34-1)),0)</f>
        <v/>
      </c>
      <c r="I18" s="14">
        <f>ROUND(IF('② パラメータ'!C36="率",D18*(1+'② パラメータ'!C42*('② パラメータ'!C34-1)),D18+'② パラメータ'!C42*('② パラメータ'!C34-1)),0)</f>
        <v/>
      </c>
      <c r="J18" s="7">
        <f>'② パラメータ'!C54</f>
        <v/>
      </c>
    </row>
    <row r="19">
      <c r="A19" s="6" t="inlineStr">
        <is>
          <t>ルシファー</t>
        </is>
      </c>
      <c r="B19" s="6" t="inlineStr">
        <is>
          <t>A</t>
        </is>
      </c>
      <c r="C19" s="6" t="n">
        <v>38</v>
      </c>
      <c r="D19" s="6" t="n">
        <v>8</v>
      </c>
      <c r="E19" s="6" t="n">
        <v>90</v>
      </c>
      <c r="F19" s="6" t="n">
        <v>4</v>
      </c>
      <c r="G19" s="6" t="inlineStr">
        <is>
          <t>男性</t>
        </is>
      </c>
      <c r="H19" s="14">
        <f>ROUND(IF('② パラメータ'!C36="率",C19*(1+'② パラメータ'!B42*('② パラメータ'!C34-1)),C19+'② パラメータ'!B42*('② パラメータ'!C34-1)),0)</f>
        <v/>
      </c>
      <c r="I19" s="14">
        <f>ROUND(IF('② パラメータ'!C36="率",D19*(1+'② パラメータ'!C42*('② パラメータ'!C34-1)),D19+'② パラメータ'!C42*('② パラメータ'!C34-1)),0)</f>
        <v/>
      </c>
      <c r="J19" s="7">
        <f>'② パラメータ'!C54</f>
        <v/>
      </c>
    </row>
    <row r="20">
      <c r="A20" s="6" t="inlineStr">
        <is>
          <t>ベルゼブブ</t>
        </is>
      </c>
      <c r="B20" s="6" t="inlineStr">
        <is>
          <t>A</t>
        </is>
      </c>
      <c r="C20" s="6" t="n">
        <v>40</v>
      </c>
      <c r="D20" s="6" t="n">
        <v>8</v>
      </c>
      <c r="E20" s="6" t="n">
        <v>58</v>
      </c>
      <c r="F20" s="6" t="n">
        <v>4</v>
      </c>
      <c r="G20" s="6" t="inlineStr">
        <is>
          <t>男性</t>
        </is>
      </c>
      <c r="H20" s="14">
        <f>ROUND(IF('② パラメータ'!C36="率",C20*(1+'② パラメータ'!B42*('② パラメータ'!C34-1)),C20+'② パラメータ'!B42*('② パラメータ'!C34-1)),0)</f>
        <v/>
      </c>
      <c r="I20" s="14">
        <f>ROUND(IF('② パラメータ'!C36="率",D20*(1+'② パラメータ'!C42*('② パラメータ'!C34-1)),D20+'② パラメータ'!C42*('② パラメータ'!C34-1)),0)</f>
        <v/>
      </c>
      <c r="J20" s="7">
        <f>'② パラメータ'!C54</f>
        <v/>
      </c>
    </row>
    <row r="21">
      <c r="A21" s="6" t="inlineStr">
        <is>
          <t>ベルフェゴール</t>
        </is>
      </c>
      <c r="B21" s="6" t="inlineStr">
        <is>
          <t>A</t>
        </is>
      </c>
      <c r="C21" s="6" t="n">
        <v>41</v>
      </c>
      <c r="D21" s="6" t="n">
        <v>8</v>
      </c>
      <c r="E21" s="6" t="n">
        <v>24</v>
      </c>
      <c r="F21" s="6" t="n">
        <v>4</v>
      </c>
      <c r="G21" s="6" t="inlineStr">
        <is>
          <t>男性</t>
        </is>
      </c>
      <c r="H21" s="14">
        <f>ROUND(IF('② パラメータ'!C36="率",C21*(1+'② パラメータ'!B42*('② パラメータ'!C34-1)),C21+'② パラメータ'!B42*('② パラメータ'!C34-1)),0)</f>
        <v/>
      </c>
      <c r="I21" s="14">
        <f>ROUND(IF('② パラメータ'!C36="率",D21*(1+'② パラメータ'!C42*('② パラメータ'!C34-1)),D21+'② パラメータ'!C42*('② パラメータ'!C34-1)),0)</f>
        <v/>
      </c>
      <c r="J21" s="7">
        <f>'② パラメータ'!C54</f>
        <v/>
      </c>
    </row>
    <row r="22">
      <c r="A22" s="6" t="inlineStr">
        <is>
          <t>アスタロト</t>
        </is>
      </c>
      <c r="B22" s="6" t="inlineStr">
        <is>
          <t>A</t>
        </is>
      </c>
      <c r="C22" s="6" t="n">
        <v>40</v>
      </c>
      <c r="D22" s="6" t="n">
        <v>8</v>
      </c>
      <c r="E22" s="6" t="n">
        <v>56</v>
      </c>
      <c r="F22" s="6" t="n">
        <v>4</v>
      </c>
      <c r="G22" s="6" t="inlineStr">
        <is>
          <t>男性</t>
        </is>
      </c>
      <c r="H22" s="14">
        <f>ROUND(IF('② パラメータ'!C36="率",C22*(1+'② パラメータ'!B42*('② パラメータ'!C34-1)),C22+'② パラメータ'!B42*('② パラメータ'!C34-1)),0)</f>
        <v/>
      </c>
      <c r="I22" s="14">
        <f>ROUND(IF('② パラメータ'!C36="率",D22*(1+'② パラメータ'!C42*('② パラメータ'!C34-1)),D22+'② パラメータ'!C42*('② パラメータ'!C34-1)),0)</f>
        <v/>
      </c>
      <c r="J22" s="7">
        <f>'② パラメータ'!C54</f>
        <v/>
      </c>
    </row>
    <row r="23">
      <c r="A23" s="6" t="inlineStr">
        <is>
          <t>ファフニール</t>
        </is>
      </c>
      <c r="B23" s="6" t="inlineStr">
        <is>
          <t>A</t>
        </is>
      </c>
      <c r="C23" s="6" t="n">
        <v>45</v>
      </c>
      <c r="D23" s="6" t="n">
        <v>7</v>
      </c>
      <c r="E23" s="6" t="n">
        <v>30</v>
      </c>
      <c r="F23" s="6" t="n">
        <v>4</v>
      </c>
      <c r="G23" s="6" t="inlineStr">
        <is>
          <t>男性</t>
        </is>
      </c>
      <c r="H23" s="14">
        <f>ROUND(IF('② パラメータ'!C36="率",C23*(1+'② パラメータ'!B42*('② パラメータ'!C34-1)),C23+'② パラメータ'!B42*('② パラメータ'!C34-1)),0)</f>
        <v/>
      </c>
      <c r="I23" s="14">
        <f>ROUND(IF('② パラメータ'!C36="率",D23*(1+'② パラメータ'!C42*('② パラメータ'!C34-1)),D23+'② パラメータ'!C42*('② パラメータ'!C34-1)),0)</f>
        <v/>
      </c>
      <c r="J23" s="7">
        <f>'② パラメータ'!C54</f>
        <v/>
      </c>
    </row>
    <row r="24">
      <c r="A24" s="6" t="inlineStr">
        <is>
          <t>レヴィアタン</t>
        </is>
      </c>
      <c r="B24" s="6" t="inlineStr">
        <is>
          <t>A</t>
        </is>
      </c>
      <c r="C24" s="6" t="n">
        <v>49</v>
      </c>
      <c r="D24" s="6" t="n">
        <v>6</v>
      </c>
      <c r="E24" s="6" t="n">
        <v>27</v>
      </c>
      <c r="F24" s="6" t="n">
        <v>4</v>
      </c>
      <c r="G24" s="6" t="inlineStr">
        <is>
          <t>なし</t>
        </is>
      </c>
      <c r="H24" s="14">
        <f>ROUND(IF('② パラメータ'!C36="率",C24*(1+'② パラメータ'!B42*('② パラメータ'!C34-1)),C24+'② パラメータ'!B42*('② パラメータ'!C34-1)),0)</f>
        <v/>
      </c>
      <c r="I24" s="14">
        <f>ROUND(IF('② パラメータ'!C36="率",D24*(1+'② パラメータ'!C42*('② パラメータ'!C34-1)),D24+'② パラメータ'!C42*('② パラメータ'!C34-1)),0)</f>
        <v/>
      </c>
      <c r="J24" s="7">
        <f>'② パラメータ'!C54</f>
        <v/>
      </c>
    </row>
    <row r="25">
      <c r="A25" s="6" t="inlineStr">
        <is>
          <t>サイクロプス</t>
        </is>
      </c>
      <c r="B25" s="6" t="inlineStr">
        <is>
          <t>B</t>
        </is>
      </c>
      <c r="C25" s="6" t="n">
        <v>25</v>
      </c>
      <c r="D25" s="6" t="n">
        <v>10</v>
      </c>
      <c r="E25" s="6" t="n">
        <v>26</v>
      </c>
      <c r="F25" s="6" t="n">
        <v>3</v>
      </c>
      <c r="G25" s="6" t="inlineStr">
        <is>
          <t>男性</t>
        </is>
      </c>
      <c r="H25" s="14">
        <f>ROUND(IF('② パラメータ'!C36="率",C25*(1+'② パラメータ'!B41*('② パラメータ'!C34-1)),C25+'② パラメータ'!B41*('② パラメータ'!C34-1)),0)</f>
        <v/>
      </c>
      <c r="I25" s="14">
        <f>ROUND(IF('② パラメータ'!C36="率",D25*(1+'② パラメータ'!C41*('② パラメータ'!C34-1)),D25+'② パラメータ'!C41*('② パラメータ'!C34-1)),0)</f>
        <v/>
      </c>
      <c r="J25" s="7">
        <f>'② パラメータ'!C53</f>
        <v/>
      </c>
    </row>
    <row r="26">
      <c r="A26" s="6" t="inlineStr">
        <is>
          <t>ガルム</t>
        </is>
      </c>
      <c r="B26" s="6" t="inlineStr">
        <is>
          <t>B</t>
        </is>
      </c>
      <c r="C26" s="6" t="n">
        <v>27</v>
      </c>
      <c r="D26" s="6" t="n">
        <v>9</v>
      </c>
      <c r="E26" s="6" t="n">
        <v>69</v>
      </c>
      <c r="F26" s="6" t="n">
        <v>3</v>
      </c>
      <c r="G26" s="6" t="inlineStr">
        <is>
          <t>男性</t>
        </is>
      </c>
      <c r="H26" s="14">
        <f>ROUND(IF('② パラメータ'!C36="率",C26*(1+'② パラメータ'!B41*('② パラメータ'!C34-1)),C26+'② パラメータ'!B41*('② パラメータ'!C34-1)),0)</f>
        <v/>
      </c>
      <c r="I26" s="14">
        <f>ROUND(IF('② パラメータ'!C36="率",D26*(1+'② パラメータ'!C41*('② パラメータ'!C34-1)),D26+'② パラメータ'!C41*('② パラメータ'!C34-1)),0)</f>
        <v/>
      </c>
      <c r="J26" s="7">
        <f>'② パラメータ'!C53</f>
        <v/>
      </c>
    </row>
    <row r="27">
      <c r="A27" s="6" t="inlineStr">
        <is>
          <t>ケルベロス</t>
        </is>
      </c>
      <c r="B27" s="6" t="inlineStr">
        <is>
          <t>B</t>
        </is>
      </c>
      <c r="C27" s="6" t="n">
        <v>24</v>
      </c>
      <c r="D27" s="6" t="n">
        <v>8</v>
      </c>
      <c r="E27" s="6" t="n">
        <v>43</v>
      </c>
      <c r="F27" s="6" t="n">
        <v>3</v>
      </c>
      <c r="G27" s="6" t="inlineStr">
        <is>
          <t>男性</t>
        </is>
      </c>
      <c r="H27" s="14">
        <f>ROUND(IF('② パラメータ'!C36="率",C27*(1+'② パラメータ'!B41*('② パラメータ'!C34-1)),C27+'② パラメータ'!B41*('② パラメータ'!C34-1)),0)</f>
        <v/>
      </c>
      <c r="I27" s="14">
        <f>ROUND(IF('② パラメータ'!C36="率",D27*(1+'② パラメータ'!C41*('② パラメータ'!C34-1)),D27+'② パラメータ'!C41*('② パラメータ'!C34-1)),0)</f>
        <v/>
      </c>
      <c r="J27" s="7">
        <f>'② パラメータ'!C53</f>
        <v/>
      </c>
    </row>
    <row r="28">
      <c r="A28" s="6" t="inlineStr">
        <is>
          <t>グリフォン</t>
        </is>
      </c>
      <c r="B28" s="6" t="inlineStr">
        <is>
          <t>B</t>
        </is>
      </c>
      <c r="C28" s="6" t="n">
        <v>30</v>
      </c>
      <c r="D28" s="6" t="n">
        <v>8</v>
      </c>
      <c r="E28" s="6" t="n">
        <v>89</v>
      </c>
      <c r="F28" s="6" t="n">
        <v>3</v>
      </c>
      <c r="G28" s="6" t="inlineStr">
        <is>
          <t>なし</t>
        </is>
      </c>
      <c r="H28" s="14">
        <f>ROUND(IF('② パラメータ'!C36="率",C28*(1+'② パラメータ'!B41*('② パラメータ'!C34-1)),C28+'② パラメータ'!B41*('② パラメータ'!C34-1)),0)</f>
        <v/>
      </c>
      <c r="I28" s="14">
        <f>ROUND(IF('② パラメータ'!C36="率",D28*(1+'② パラメータ'!C41*('② パラメータ'!C34-1)),D28+'② パラメータ'!C41*('② パラメータ'!C34-1)),0)</f>
        <v/>
      </c>
      <c r="J28" s="7">
        <f>'② パラメータ'!C53</f>
        <v/>
      </c>
    </row>
    <row r="29">
      <c r="A29" s="6" t="inlineStr">
        <is>
          <t>イフリート</t>
        </is>
      </c>
      <c r="B29" s="6" t="inlineStr">
        <is>
          <t>B</t>
        </is>
      </c>
      <c r="C29" s="6" t="n">
        <v>24</v>
      </c>
      <c r="D29" s="6" t="n">
        <v>8</v>
      </c>
      <c r="E29" s="6" t="n">
        <v>48</v>
      </c>
      <c r="F29" s="6" t="n">
        <v>3</v>
      </c>
      <c r="G29" s="6" t="inlineStr">
        <is>
          <t>男性</t>
        </is>
      </c>
      <c r="H29" s="14">
        <f>ROUND(IF('② パラメータ'!C36="率",C29*(1+'② パラメータ'!B41*('② パラメータ'!C34-1)),C29+'② パラメータ'!B41*('② パラメータ'!C34-1)),0)</f>
        <v/>
      </c>
      <c r="I29" s="14">
        <f>ROUND(IF('② パラメータ'!C36="率",D29*(1+'② パラメータ'!C41*('② パラメータ'!C34-1)),D29+'② パラメータ'!C41*('② パラメータ'!C34-1)),0)</f>
        <v/>
      </c>
      <c r="J29" s="7">
        <f>'② パラメータ'!C53</f>
        <v/>
      </c>
    </row>
    <row r="30">
      <c r="A30" s="6" t="inlineStr">
        <is>
          <t>フレースヴェルグ</t>
        </is>
      </c>
      <c r="B30" s="6" t="inlineStr">
        <is>
          <t>B</t>
        </is>
      </c>
      <c r="C30" s="6" t="n">
        <v>26</v>
      </c>
      <c r="D30" s="6" t="n">
        <v>7</v>
      </c>
      <c r="E30" s="6" t="n">
        <v>86</v>
      </c>
      <c r="F30" s="6" t="n">
        <v>3</v>
      </c>
      <c r="G30" s="6" t="inlineStr">
        <is>
          <t>男性</t>
        </is>
      </c>
      <c r="H30" s="14">
        <f>ROUND(IF('② パラメータ'!C36="率",C30*(1+'② パラメータ'!B41*('② パラメータ'!C34-1)),C30+'② パラメータ'!B41*('② パラメータ'!C34-1)),0)</f>
        <v/>
      </c>
      <c r="I30" s="14">
        <f>ROUND(IF('② パラメータ'!C36="率",D30*(1+'② パラメータ'!C41*('② パラメータ'!C34-1)),D30+'② パラメータ'!C41*('② パラメータ'!C34-1)),0)</f>
        <v/>
      </c>
      <c r="J30" s="7">
        <f>'② パラメータ'!C53</f>
        <v/>
      </c>
    </row>
    <row r="31">
      <c r="A31" s="6" t="inlineStr">
        <is>
          <t>メドゥーサ</t>
        </is>
      </c>
      <c r="B31" s="6" t="inlineStr">
        <is>
          <t>B</t>
        </is>
      </c>
      <c r="C31" s="6" t="n">
        <v>27</v>
      </c>
      <c r="D31" s="6" t="n">
        <v>7</v>
      </c>
      <c r="E31" s="6" t="n">
        <v>79</v>
      </c>
      <c r="F31" s="6" t="n">
        <v>3</v>
      </c>
      <c r="G31" s="6" t="inlineStr">
        <is>
          <t>女性</t>
        </is>
      </c>
      <c r="H31" s="14">
        <f>ROUND(IF('② パラメータ'!C36="率",C31*(1+'② パラメータ'!B41*('② パラメータ'!C34-1)),C31+'② パラメータ'!B41*('② パラメータ'!C34-1)),0)</f>
        <v/>
      </c>
      <c r="I31" s="14">
        <f>ROUND(IF('② パラメータ'!C36="率",D31*(1+'② パラメータ'!C41*('② パラメータ'!C34-1)),D31+'② パラメータ'!C41*('② パラメータ'!C34-1)),0)</f>
        <v/>
      </c>
      <c r="J31" s="7">
        <f>'② パラメータ'!C53</f>
        <v/>
      </c>
    </row>
    <row r="32">
      <c r="A32" s="6" t="inlineStr">
        <is>
          <t>ミノタウロス</t>
        </is>
      </c>
      <c r="B32" s="6" t="inlineStr">
        <is>
          <t>B</t>
        </is>
      </c>
      <c r="C32" s="6" t="n">
        <v>38</v>
      </c>
      <c r="D32" s="6" t="n">
        <v>7</v>
      </c>
      <c r="E32" s="6" t="n">
        <v>14</v>
      </c>
      <c r="F32" s="6" t="n">
        <v>3</v>
      </c>
      <c r="G32" s="6" t="inlineStr">
        <is>
          <t>男性</t>
        </is>
      </c>
      <c r="H32" s="14">
        <f>ROUND(IF('② パラメータ'!C36="率",C32*(1+'② パラメータ'!B41*('② パラメータ'!C34-1)),C32+'② パラメータ'!B41*('② パラメータ'!C34-1)),0)</f>
        <v/>
      </c>
      <c r="I32" s="14">
        <f>ROUND(IF('② パラメータ'!C36="率",D32*(1+'② パラメータ'!C41*('② パラメータ'!C34-1)),D32+'② パラメータ'!C41*('② パラメータ'!C34-1)),0)</f>
        <v/>
      </c>
      <c r="J32" s="7">
        <f>'② パラメータ'!C53</f>
        <v/>
      </c>
    </row>
    <row r="33">
      <c r="A33" s="6" t="inlineStr">
        <is>
          <t>キマイラ</t>
        </is>
      </c>
      <c r="B33" s="6" t="inlineStr">
        <is>
          <t>B</t>
        </is>
      </c>
      <c r="C33" s="6" t="n">
        <v>27</v>
      </c>
      <c r="D33" s="6" t="n">
        <v>7</v>
      </c>
      <c r="E33" s="6" t="n">
        <v>60</v>
      </c>
      <c r="F33" s="6" t="n">
        <v>3</v>
      </c>
      <c r="G33" s="6" t="inlineStr">
        <is>
          <t>女性</t>
        </is>
      </c>
      <c r="H33" s="14">
        <f>ROUND(IF('② パラメータ'!C36="率",C33*(1+'② パラメータ'!B41*('② パラメータ'!C34-1)),C33+'② パラメータ'!B41*('② パラメータ'!C34-1)),0)</f>
        <v/>
      </c>
      <c r="I33" s="14">
        <f>ROUND(IF('② パラメータ'!C36="率",D33*(1+'② パラメータ'!C41*('② パラメータ'!C34-1)),D33+'② パラメータ'!C41*('② パラメータ'!C34-1)),0)</f>
        <v/>
      </c>
      <c r="J33" s="7">
        <f>'② パラメータ'!C53</f>
        <v/>
      </c>
    </row>
    <row r="34">
      <c r="A34" s="6" t="inlineStr">
        <is>
          <t>アザゼル</t>
        </is>
      </c>
      <c r="B34" s="6" t="inlineStr">
        <is>
          <t>B</t>
        </is>
      </c>
      <c r="C34" s="6" t="n">
        <v>27</v>
      </c>
      <c r="D34" s="6" t="n">
        <v>7</v>
      </c>
      <c r="E34" s="6" t="n">
        <v>67</v>
      </c>
      <c r="F34" s="6" t="n">
        <v>3</v>
      </c>
      <c r="G34" s="6" t="inlineStr">
        <is>
          <t>男性</t>
        </is>
      </c>
      <c r="H34" s="14">
        <f>ROUND(IF('② パラメータ'!C36="率",C34*(1+'② パラメータ'!B41*('② パラメータ'!C34-1)),C34+'② パラメータ'!B41*('② パラメータ'!C34-1)),0)</f>
        <v/>
      </c>
      <c r="I34" s="14">
        <f>ROUND(IF('② パラメータ'!C36="率",D34*(1+'② パラメータ'!C41*('② パラメータ'!C34-1)),D34+'② パラメータ'!C41*('② パラメータ'!C34-1)),0)</f>
        <v/>
      </c>
      <c r="J34" s="7">
        <f>'② パラメータ'!C53</f>
        <v/>
      </c>
    </row>
    <row r="35">
      <c r="A35" s="6" t="inlineStr">
        <is>
          <t>セイレーン</t>
        </is>
      </c>
      <c r="B35" s="6" t="inlineStr">
        <is>
          <t>B</t>
        </is>
      </c>
      <c r="C35" s="6" t="n">
        <v>26</v>
      </c>
      <c r="D35" s="6" t="n">
        <v>7</v>
      </c>
      <c r="E35" s="6" t="n">
        <v>80</v>
      </c>
      <c r="F35" s="6" t="n">
        <v>3</v>
      </c>
      <c r="G35" s="6" t="inlineStr">
        <is>
          <t>女性</t>
        </is>
      </c>
      <c r="H35" s="14">
        <f>ROUND(IF('② パラメータ'!C36="率",C35*(1+'② パラメータ'!B41*('② パラメータ'!C34-1)),C35+'② パラメータ'!B41*('② パラメータ'!C34-1)),0)</f>
        <v/>
      </c>
      <c r="I35" s="14">
        <f>ROUND(IF('② パラメータ'!C36="率",D35*(1+'② パラメータ'!C41*('② パラメータ'!C34-1)),D35+'② パラメータ'!C41*('② パラメータ'!C34-1)),0)</f>
        <v/>
      </c>
      <c r="J35" s="7">
        <f>'② パラメータ'!C53</f>
        <v/>
      </c>
    </row>
    <row r="36">
      <c r="A36" s="6" t="inlineStr">
        <is>
          <t>デュラハン</t>
        </is>
      </c>
      <c r="B36" s="6" t="inlineStr">
        <is>
          <t>B</t>
        </is>
      </c>
      <c r="C36" s="6" t="n">
        <v>29</v>
      </c>
      <c r="D36" s="6" t="n">
        <v>7</v>
      </c>
      <c r="E36" s="6" t="n">
        <v>38</v>
      </c>
      <c r="F36" s="6" t="n">
        <v>3</v>
      </c>
      <c r="G36" s="6" t="inlineStr">
        <is>
          <t>男性</t>
        </is>
      </c>
      <c r="H36" s="14">
        <f>ROUND(IF('② パラメータ'!C36="率",C36*(1+'② パラメータ'!B41*('② パラメータ'!C34-1)),C36+'② パラメータ'!B41*('② パラメータ'!C34-1)),0)</f>
        <v/>
      </c>
      <c r="I36" s="14">
        <f>ROUND(IF('② パラメータ'!C36="率",D36*(1+'② パラメータ'!C41*('② パラメータ'!C34-1)),D36+'② パラメータ'!C41*('② パラメータ'!C34-1)),0)</f>
        <v/>
      </c>
      <c r="J36" s="7">
        <f>'② パラメータ'!C53</f>
        <v/>
      </c>
    </row>
    <row r="37">
      <c r="A37" s="6" t="inlineStr">
        <is>
          <t>バンシー</t>
        </is>
      </c>
      <c r="B37" s="6" t="inlineStr">
        <is>
          <t>B</t>
        </is>
      </c>
      <c r="C37" s="6" t="n">
        <v>27</v>
      </c>
      <c r="D37" s="6" t="n">
        <v>7</v>
      </c>
      <c r="E37" s="6" t="n">
        <v>66</v>
      </c>
      <c r="F37" s="6" t="n">
        <v>3</v>
      </c>
      <c r="G37" s="6" t="inlineStr">
        <is>
          <t>女性</t>
        </is>
      </c>
      <c r="H37" s="14">
        <f>ROUND(IF('② パラメータ'!C36="率",C37*(1+'② パラメータ'!B41*('② パラメータ'!C34-1)),C37+'② パラメータ'!B41*('② パラメータ'!C34-1)),0)</f>
        <v/>
      </c>
      <c r="I37" s="14">
        <f>ROUND(IF('② パラメータ'!C36="率",D37*(1+'② パラメータ'!C41*('② パラメータ'!C34-1)),D37+'② パラメータ'!C41*('② パラメータ'!C34-1)),0)</f>
        <v/>
      </c>
      <c r="J37" s="7">
        <f>'② パラメータ'!C53</f>
        <v/>
      </c>
    </row>
    <row r="38">
      <c r="A38" s="6" t="inlineStr">
        <is>
          <t>ヒュドラ</t>
        </is>
      </c>
      <c r="B38" s="6" t="inlineStr">
        <is>
          <t>B</t>
        </is>
      </c>
      <c r="C38" s="6" t="n">
        <v>32</v>
      </c>
      <c r="D38" s="6" t="n">
        <v>6</v>
      </c>
      <c r="E38" s="6" t="n">
        <v>41</v>
      </c>
      <c r="F38" s="6" t="n">
        <v>3</v>
      </c>
      <c r="G38" s="6" t="inlineStr">
        <is>
          <t>女性</t>
        </is>
      </c>
      <c r="H38" s="14">
        <f>ROUND(IF('② パラメータ'!C36="率",C38*(1+'② パラメータ'!B41*('② パラメータ'!C34-1)),C38+'② パラメータ'!B41*('② パラメータ'!C34-1)),0)</f>
        <v/>
      </c>
      <c r="I38" s="14">
        <f>ROUND(IF('② パラメータ'!C36="率",D38*(1+'② パラメータ'!C41*('② パラメータ'!C34-1)),D38+'② パラメータ'!C41*('② パラメータ'!C34-1)),0)</f>
        <v/>
      </c>
      <c r="J38" s="7">
        <f>'② パラメータ'!C53</f>
        <v/>
      </c>
    </row>
    <row r="39">
      <c r="A39" s="6" t="inlineStr">
        <is>
          <t>雪女</t>
        </is>
      </c>
      <c r="B39" s="6" t="inlineStr">
        <is>
          <t>B</t>
        </is>
      </c>
      <c r="C39" s="6" t="n">
        <v>31</v>
      </c>
      <c r="D39" s="6" t="n">
        <v>6</v>
      </c>
      <c r="E39" s="6" t="n">
        <v>72</v>
      </c>
      <c r="F39" s="6" t="n">
        <v>3</v>
      </c>
      <c r="G39" s="6" t="inlineStr">
        <is>
          <t>女性</t>
        </is>
      </c>
      <c r="H39" s="14">
        <f>ROUND(IF('② パラメータ'!C36="率",C39*(1+'② パラメータ'!B41*('② パラメータ'!C34-1)),C39+'② パラメータ'!B41*('② パラメータ'!C34-1)),0)</f>
        <v/>
      </c>
      <c r="I39" s="14">
        <f>ROUND(IF('② パラメータ'!C36="率",D39*(1+'② パラメータ'!C41*('② パラメータ'!C34-1)),D39+'② パラメータ'!C41*('② パラメータ'!C34-1)),0)</f>
        <v/>
      </c>
      <c r="J39" s="7">
        <f>'② パラメータ'!C53</f>
        <v/>
      </c>
    </row>
    <row r="40">
      <c r="A40" s="6" t="inlineStr">
        <is>
          <t>パイモン</t>
        </is>
      </c>
      <c r="B40" s="6" t="inlineStr">
        <is>
          <t>B</t>
        </is>
      </c>
      <c r="C40" s="6" t="n">
        <v>31</v>
      </c>
      <c r="D40" s="6" t="n">
        <v>6</v>
      </c>
      <c r="E40" s="6" t="n">
        <v>71</v>
      </c>
      <c r="F40" s="6" t="n">
        <v>3</v>
      </c>
      <c r="G40" s="6" t="inlineStr">
        <is>
          <t>男性</t>
        </is>
      </c>
      <c r="H40" s="14">
        <f>ROUND(IF('② パラメータ'!C36="率",C40*(1+'② パラメータ'!B41*('② パラメータ'!C34-1)),C40+'② パラメータ'!B41*('② パラメータ'!C34-1)),0)</f>
        <v/>
      </c>
      <c r="I40" s="14">
        <f>ROUND(IF('② パラメータ'!C36="率",D40*(1+'② パラメータ'!C41*('② パラメータ'!C34-1)),D40+'② パラメータ'!C41*('② パラメータ'!C34-1)),0)</f>
        <v/>
      </c>
      <c r="J40" s="7">
        <f>'② パラメータ'!C53</f>
        <v/>
      </c>
    </row>
    <row r="41">
      <c r="A41" s="6" t="inlineStr">
        <is>
          <t>ベヒーモス</t>
        </is>
      </c>
      <c r="B41" s="6" t="inlineStr">
        <is>
          <t>B</t>
        </is>
      </c>
      <c r="C41" s="6" t="n">
        <v>42</v>
      </c>
      <c r="D41" s="6" t="n">
        <v>6</v>
      </c>
      <c r="E41" s="6" t="n">
        <v>10</v>
      </c>
      <c r="F41" s="6" t="n">
        <v>3</v>
      </c>
      <c r="G41" s="6" t="inlineStr">
        <is>
          <t>なし</t>
        </is>
      </c>
      <c r="H41" s="14">
        <f>ROUND(IF('② パラメータ'!C36="率",C41*(1+'② パラメータ'!B41*('② パラメータ'!C34-1)),C41+'② パラメータ'!B41*('② パラメータ'!C34-1)),0)</f>
        <v/>
      </c>
      <c r="I41" s="14">
        <f>ROUND(IF('② パラメータ'!C36="率",D41*(1+'② パラメータ'!C41*('② パラメータ'!C34-1)),D41+'② パラメータ'!C41*('② パラメータ'!C34-1)),0)</f>
        <v/>
      </c>
      <c r="J41" s="7">
        <f>'② パラメータ'!C53</f>
        <v/>
      </c>
    </row>
    <row r="42">
      <c r="A42" s="6" t="inlineStr">
        <is>
          <t>スフィンクス</t>
        </is>
      </c>
      <c r="B42" s="6" t="inlineStr">
        <is>
          <t>B</t>
        </is>
      </c>
      <c r="C42" s="6" t="n">
        <v>33</v>
      </c>
      <c r="D42" s="6" t="n">
        <v>6</v>
      </c>
      <c r="E42" s="6" t="n">
        <v>35</v>
      </c>
      <c r="F42" s="6" t="n">
        <v>3</v>
      </c>
      <c r="G42" s="6" t="inlineStr">
        <is>
          <t>女性</t>
        </is>
      </c>
      <c r="H42" s="14">
        <f>ROUND(IF('② パラメータ'!C36="率",C42*(1+'② パラメータ'!B41*('② パラメータ'!C34-1)),C42+'② パラメータ'!B41*('② パラメータ'!C34-1)),0)</f>
        <v/>
      </c>
      <c r="I42" s="14">
        <f>ROUND(IF('② パラメータ'!C36="率",D42*(1+'② パラメータ'!C41*('② パラメータ'!C34-1)),D42+'② パラメータ'!C41*('② パラメータ'!C34-1)),0)</f>
        <v/>
      </c>
      <c r="J42" s="7">
        <f>'② パラメータ'!C53</f>
        <v/>
      </c>
    </row>
    <row r="43">
      <c r="A43" s="6" t="inlineStr">
        <is>
          <t>クラーケン</t>
        </is>
      </c>
      <c r="B43" s="6" t="inlineStr">
        <is>
          <t>B</t>
        </is>
      </c>
      <c r="C43" s="6" t="n">
        <v>33</v>
      </c>
      <c r="D43" s="6" t="n">
        <v>6</v>
      </c>
      <c r="E43" s="6" t="n">
        <v>22</v>
      </c>
      <c r="F43" s="6" t="n">
        <v>3</v>
      </c>
      <c r="G43" s="6" t="inlineStr">
        <is>
          <t>なし</t>
        </is>
      </c>
      <c r="H43" s="14">
        <f>ROUND(IF('② パラメータ'!C36="率",C43*(1+'② パラメータ'!B41*('② パラメータ'!C34-1)),C43+'② パラメータ'!B41*('② パラメータ'!C34-1)),0)</f>
        <v/>
      </c>
      <c r="I43" s="14">
        <f>ROUND(IF('② パラメータ'!C36="率",D43*(1+'② パラメータ'!C41*('② パラメータ'!C34-1)),D43+'② パラメータ'!C41*('② パラメータ'!C34-1)),0)</f>
        <v/>
      </c>
      <c r="J43" s="7">
        <f>'② パラメータ'!C53</f>
        <v/>
      </c>
    </row>
    <row r="44">
      <c r="A44" s="6" t="inlineStr">
        <is>
          <t>ペガサス</t>
        </is>
      </c>
      <c r="B44" s="6" t="inlineStr">
        <is>
          <t>B</t>
        </is>
      </c>
      <c r="C44" s="6" t="n">
        <v>34</v>
      </c>
      <c r="D44" s="6" t="n">
        <v>5</v>
      </c>
      <c r="E44" s="6" t="n">
        <v>98</v>
      </c>
      <c r="F44" s="6" t="n">
        <v>3</v>
      </c>
      <c r="G44" s="6" t="inlineStr">
        <is>
          <t>男性</t>
        </is>
      </c>
      <c r="H44" s="14">
        <f>ROUND(IF('② パラメータ'!C36="率",C44*(1+'② パラメータ'!B41*('② パラメータ'!C34-1)),C44+'② パラメータ'!B41*('② パラメータ'!C34-1)),0)</f>
        <v/>
      </c>
      <c r="I44" s="14">
        <f>ROUND(IF('② パラメータ'!C36="率",D44*(1+'② パラメータ'!C41*('② パラメータ'!C34-1)),D44+'② パラメータ'!C41*('② パラメータ'!C34-1)),0)</f>
        <v/>
      </c>
      <c r="J44" s="7">
        <f>'② パラメータ'!C53</f>
        <v/>
      </c>
    </row>
    <row r="45">
      <c r="A45" s="6" t="inlineStr">
        <is>
          <t>ダークエルフ</t>
        </is>
      </c>
      <c r="B45" s="6" t="inlineStr">
        <is>
          <t>C</t>
        </is>
      </c>
      <c r="C45" s="6" t="n">
        <v>14</v>
      </c>
      <c r="D45" s="6" t="n">
        <v>8</v>
      </c>
      <c r="E45" s="6" t="n">
        <v>83</v>
      </c>
      <c r="F45" s="6" t="n">
        <v>2</v>
      </c>
      <c r="G45" s="6" t="inlineStr">
        <is>
          <t>女性</t>
        </is>
      </c>
      <c r="H45" s="14">
        <f>ROUND(IF('② パラメータ'!C36="率",C45*(1+'② パラメータ'!B40*('② パラメータ'!C34-1)),C45+'② パラメータ'!B40*('② パラメータ'!C34-1)),0)</f>
        <v/>
      </c>
      <c r="I45" s="14">
        <f>ROUND(IF('② パラメータ'!C36="率",D45*(1+'② パラメータ'!C40*('② パラメータ'!C34-1)),D45+'② パラメータ'!C40*('② パラメータ'!C34-1)),0)</f>
        <v/>
      </c>
      <c r="J45" s="7">
        <f>'② パラメータ'!C52</f>
        <v/>
      </c>
    </row>
    <row r="46">
      <c r="A46" s="6" t="inlineStr">
        <is>
          <t>ゴブリン</t>
        </is>
      </c>
      <c r="B46" s="6" t="inlineStr">
        <is>
          <t>C</t>
        </is>
      </c>
      <c r="C46" s="6" t="n">
        <v>20</v>
      </c>
      <c r="D46" s="6" t="n">
        <v>7</v>
      </c>
      <c r="E46" s="6" t="n">
        <v>57</v>
      </c>
      <c r="F46" s="6" t="n">
        <v>2</v>
      </c>
      <c r="G46" s="6" t="inlineStr">
        <is>
          <t>男性</t>
        </is>
      </c>
      <c r="H46" s="14">
        <f>ROUND(IF('② パラメータ'!C36="率",C46*(1+'② パラメータ'!B40*('② パラメータ'!C34-1)),C46+'② パラメータ'!B40*('② パラメータ'!C34-1)),0)</f>
        <v/>
      </c>
      <c r="I46" s="14">
        <f>ROUND(IF('② パラメータ'!C36="率",D46*(1+'② パラメータ'!C40*('② パラメータ'!C34-1)),D46+'② パラメータ'!C40*('② パラメータ'!C34-1)),0)</f>
        <v/>
      </c>
      <c r="J46" s="7">
        <f>'② パラメータ'!C52</f>
        <v/>
      </c>
    </row>
    <row r="47">
      <c r="A47" s="6" t="inlineStr">
        <is>
          <t>インプ</t>
        </is>
      </c>
      <c r="B47" s="6" t="inlineStr">
        <is>
          <t>C</t>
        </is>
      </c>
      <c r="C47" s="6" t="n">
        <v>18</v>
      </c>
      <c r="D47" s="6" t="n">
        <v>7</v>
      </c>
      <c r="E47" s="6" t="n">
        <v>87</v>
      </c>
      <c r="F47" s="6" t="n">
        <v>2</v>
      </c>
      <c r="G47" s="6" t="inlineStr">
        <is>
          <t>男性</t>
        </is>
      </c>
      <c r="H47" s="14">
        <f>ROUND(IF('② パラメータ'!C36="率",C47*(1+'② パラメータ'!B40*('② パラメータ'!C34-1)),C47+'② パラメータ'!B40*('② パラメータ'!C34-1)),0)</f>
        <v/>
      </c>
      <c r="I47" s="14">
        <f>ROUND(IF('② パラメータ'!C36="率",D47*(1+'② パラメータ'!C40*('② パラメータ'!C34-1)),D47+'② パラメータ'!C40*('② パラメータ'!C34-1)),0)</f>
        <v/>
      </c>
      <c r="J47" s="7">
        <f>'② パラメータ'!C52</f>
        <v/>
      </c>
    </row>
    <row r="48">
      <c r="A48" s="6" t="inlineStr">
        <is>
          <t>スケルトン</t>
        </is>
      </c>
      <c r="B48" s="6" t="inlineStr">
        <is>
          <t>C</t>
        </is>
      </c>
      <c r="C48" s="6" t="n">
        <v>25</v>
      </c>
      <c r="D48" s="6" t="n">
        <v>6</v>
      </c>
      <c r="E48" s="6" t="n">
        <v>20</v>
      </c>
      <c r="F48" s="6" t="n">
        <v>2</v>
      </c>
      <c r="G48" s="6" t="inlineStr">
        <is>
          <t>なし</t>
        </is>
      </c>
      <c r="H48" s="14">
        <f>ROUND(IF('② パラメータ'!C36="率",C48*(1+'② パラメータ'!B40*('② パラメータ'!C34-1)),C48+'② パラメータ'!B40*('② パラメータ'!C34-1)),0)</f>
        <v/>
      </c>
      <c r="I48" s="14">
        <f>ROUND(IF('② パラメータ'!C36="率",D48*(1+'② パラメータ'!C40*('② パラメータ'!C34-1)),D48+'② パラメータ'!C40*('② パラメータ'!C34-1)),0)</f>
        <v/>
      </c>
      <c r="J48" s="7">
        <f>'② パラメータ'!C52</f>
        <v/>
      </c>
    </row>
    <row r="49">
      <c r="A49" s="6" t="inlineStr">
        <is>
          <t>スライム</t>
        </is>
      </c>
      <c r="B49" s="6" t="inlineStr">
        <is>
          <t>C</t>
        </is>
      </c>
      <c r="C49" s="6" t="n">
        <v>30</v>
      </c>
      <c r="D49" s="6" t="n">
        <v>5</v>
      </c>
      <c r="E49" s="6" t="n">
        <v>8</v>
      </c>
      <c r="F49" s="6" t="n">
        <v>2</v>
      </c>
      <c r="G49" s="6" t="inlineStr">
        <is>
          <t>なし</t>
        </is>
      </c>
      <c r="H49" s="14">
        <f>ROUND(IF('② パラメータ'!C36="率",C49*(1+'② パラメータ'!B40*('② パラメータ'!C34-1)),C49+'② パラメータ'!B40*('② パラメータ'!C34-1)),0)</f>
        <v/>
      </c>
      <c r="I49" s="14">
        <f>ROUND(IF('② パラメータ'!C36="率",D49*(1+'② パラメータ'!C40*('② パラメータ'!C34-1)),D49+'② パラメータ'!C40*('② パラメータ'!C34-1)),0)</f>
        <v/>
      </c>
      <c r="J49" s="7">
        <f>'② パラメータ'!C52</f>
        <v/>
      </c>
    </row>
    <row r="50">
      <c r="A50" s="6" t="inlineStr">
        <is>
          <t>ミミック</t>
        </is>
      </c>
      <c r="B50" s="6" t="inlineStr">
        <is>
          <t>C</t>
        </is>
      </c>
      <c r="C50" s="6" t="n">
        <v>29</v>
      </c>
      <c r="D50" s="6" t="n">
        <v>5</v>
      </c>
      <c r="E50" s="6" t="n">
        <v>28</v>
      </c>
      <c r="F50" s="6" t="n">
        <v>2</v>
      </c>
      <c r="G50" s="6" t="inlineStr">
        <is>
          <t>なし</t>
        </is>
      </c>
      <c r="H50" s="14">
        <f>ROUND(IF('② パラメータ'!C36="率",C50*(1+'② パラメータ'!B40*('② パラメータ'!C34-1)),C50+'② パラメータ'!B40*('② パラメータ'!C34-1)),0)</f>
        <v/>
      </c>
      <c r="I50" s="14">
        <f>ROUND(IF('② パラメータ'!C36="率",D50*(1+'② パラメータ'!C40*('② パラメータ'!C34-1)),D50+'② パラメータ'!C40*('② パラメータ'!C34-1)),0)</f>
        <v/>
      </c>
      <c r="J50" s="7">
        <f>'② パラメータ'!C52</f>
        <v/>
      </c>
    </row>
    <row r="51">
      <c r="A51" s="6" t="inlineStr">
        <is>
          <t>ウィスプ</t>
        </is>
      </c>
      <c r="B51" s="6" t="inlineStr">
        <is>
          <t>C</t>
        </is>
      </c>
      <c r="C51" s="6" t="n">
        <v>26</v>
      </c>
      <c r="D51" s="6" t="n">
        <v>5</v>
      </c>
      <c r="E51" s="6" t="n">
        <v>94</v>
      </c>
      <c r="F51" s="6" t="n">
        <v>2</v>
      </c>
      <c r="G51" s="6" t="inlineStr">
        <is>
          <t>なし</t>
        </is>
      </c>
      <c r="H51" s="14">
        <f>ROUND(IF('② パラメータ'!C36="率",C51*(1+'② パラメータ'!B40*('② パラメータ'!C34-1)),C51+'② パラメータ'!B40*('② パラメータ'!C34-1)),0)</f>
        <v/>
      </c>
      <c r="I51" s="14">
        <f>ROUND(IF('② パラメータ'!C36="率",D51*(1+'② パラメータ'!C40*('② パラメータ'!C34-1)),D51+'② パラメータ'!C40*('② パラメータ'!C34-1)),0)</f>
        <v/>
      </c>
      <c r="J51" s="7">
        <f>'② パラメータ'!C52</f>
        <v/>
      </c>
    </row>
    <row r="52">
      <c r="A52" s="6" t="inlineStr">
        <is>
          <t>フェアリー</t>
        </is>
      </c>
      <c r="B52" s="6" t="inlineStr">
        <is>
          <t>C</t>
        </is>
      </c>
      <c r="C52" s="6" t="n">
        <v>27</v>
      </c>
      <c r="D52" s="6" t="n">
        <v>5</v>
      </c>
      <c r="E52" s="6" t="n">
        <v>73</v>
      </c>
      <c r="F52" s="6" t="n">
        <v>2</v>
      </c>
      <c r="G52" s="6" t="inlineStr">
        <is>
          <t>女性</t>
        </is>
      </c>
      <c r="H52" s="14">
        <f>ROUND(IF('② パラメータ'!C36="率",C52*(1+'② パラメータ'!B40*('② パラメータ'!C34-1)),C52+'② パラメータ'!B40*('② パラメータ'!C34-1)),0)</f>
        <v/>
      </c>
      <c r="I52" s="14">
        <f>ROUND(IF('② パラメータ'!C36="率",D52*(1+'② パラメータ'!C40*('② パラメータ'!C34-1)),D52+'② パラメータ'!C40*('② パラメータ'!C34-1)),0)</f>
        <v/>
      </c>
      <c r="J52" s="7">
        <f>'② パラメータ'!C52</f>
        <v/>
      </c>
    </row>
    <row r="53">
      <c r="A53" s="6" t="inlineStr">
        <is>
          <t>カーバンクル</t>
        </is>
      </c>
      <c r="B53" s="6" t="inlineStr">
        <is>
          <t>C</t>
        </is>
      </c>
      <c r="C53" s="6" t="n">
        <v>29</v>
      </c>
      <c r="D53" s="6" t="n">
        <v>5</v>
      </c>
      <c r="E53" s="6" t="n">
        <v>34</v>
      </c>
      <c r="F53" s="6" t="n">
        <v>2</v>
      </c>
      <c r="G53" s="6" t="inlineStr">
        <is>
          <t>なし</t>
        </is>
      </c>
      <c r="H53" s="14">
        <f>ROUND(IF('② パラメータ'!C36="率",C53*(1+'② パラメータ'!B40*('② パラメータ'!C34-1)),C53+'② パラメータ'!B40*('② パラメータ'!C34-1)),0)</f>
        <v/>
      </c>
      <c r="I53" s="14">
        <f>ROUND(IF('② パラメータ'!C36="率",D53*(1+'② パラメータ'!C40*('② パラメータ'!C34-1)),D53+'② パラメータ'!C40*('② パラメータ'!C34-1)),0)</f>
        <v/>
      </c>
      <c r="J53" s="7">
        <f>'② パラメータ'!C52</f>
        <v/>
      </c>
    </row>
    <row r="54">
      <c r="A54" s="6" t="inlineStr">
        <is>
          <t>マンドラゴラ</t>
        </is>
      </c>
      <c r="B54" s="6" t="inlineStr">
        <is>
          <t>C</t>
        </is>
      </c>
      <c r="C54" s="6" t="n">
        <v>34</v>
      </c>
      <c r="D54" s="6" t="n">
        <v>4</v>
      </c>
      <c r="E54" s="6" t="n">
        <v>6</v>
      </c>
      <c r="F54" s="6" t="n">
        <v>2</v>
      </c>
      <c r="G54" s="6" t="inlineStr">
        <is>
          <t>なし</t>
        </is>
      </c>
      <c r="H54" s="14">
        <f>ROUND(IF('② パラメータ'!C36="率",C54*(1+'② パラメータ'!B40*('② パラメータ'!C34-1)),C54+'② パラメータ'!B40*('② パラメータ'!C34-1)),0)</f>
        <v/>
      </c>
      <c r="I54" s="14">
        <f>ROUND(IF('② パラメータ'!C36="率",D54*(1+'② パラメータ'!C40*('② パラメータ'!C34-1)),D54+'② パラメータ'!C40*('② パラメータ'!C34-1)),0)</f>
        <v/>
      </c>
      <c r="J54" s="7">
        <f>'② パラメータ'!C52</f>
        <v/>
      </c>
    </row>
  </sheetData>
  <autoFilter ref="A4:J54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22" customWidth="1" min="4" max="4"/>
    <col width="10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1" t="inlineStr">
        <is>
          <t xml:space="preserve">  ⑥ スキル影響　— 能力値を変えるとスキル威力がどう動くか</t>
        </is>
      </c>
    </row>
    <row r="2">
      <c r="A2" s="3" t="inlineStr">
        <is>
          <t xml:space="preserve">　　スキルはATK・最大HPの割合で効きます。能力値を上げると威力も一緒に上がります。</t>
        </is>
      </c>
    </row>
    <row r="3">
      <c r="A3" s="3" t="inlineStr">
        <is>
          <t xml:space="preserve">　　※「受ける側の〜」が基準のスキルは、相手の能力値で決まります。ここでは目安として、使う側と同じ能力の相手に使った場合の数値を出しています。</t>
        </is>
      </c>
    </row>
    <row r="5">
      <c r="A5" s="13" t="inlineStr">
        <is>
          <t>スキル名</t>
        </is>
      </c>
      <c r="B5" s="13" t="inlineStr">
        <is>
          <t>使い魔</t>
        </is>
      </c>
      <c r="C5" s="13" t="inlineStr">
        <is>
          <t>ランク</t>
        </is>
      </c>
      <c r="D5" s="13" t="inlineStr">
        <is>
          <t>効果</t>
        </is>
      </c>
      <c r="E5" s="13" t="inlineStr">
        <is>
          <t>割合</t>
        </is>
      </c>
      <c r="F5" s="13" t="inlineStr">
        <is>
          <t>基準</t>
        </is>
      </c>
      <c r="G5" s="13" t="inlineStr">
        <is>
          <t>素の値で</t>
        </is>
      </c>
      <c r="H5" s="13" t="inlineStr">
        <is>
          <t>最終値で</t>
        </is>
      </c>
      <c r="I5" s="13" t="inlineStr">
        <is>
          <t>変化</t>
        </is>
      </c>
    </row>
    <row r="6">
      <c r="A6" s="6" t="inlineStr">
        <is>
          <t>終末の巨人</t>
        </is>
      </c>
      <c r="B6" s="6" t="inlineStr">
        <is>
          <t>スルト</t>
        </is>
      </c>
      <c r="C6" s="6" t="inlineStr">
        <is>
          <t>S</t>
        </is>
      </c>
      <c r="D6" s="6" t="inlineStr">
        <is>
          <t>attack_damage_reduction</t>
        </is>
      </c>
      <c r="E6" s="6" t="inlineStr">
        <is>
          <t>-5%</t>
        </is>
      </c>
      <c r="F6" s="6" t="inlineStr">
        <is>
          <t>受ける側の最大HP</t>
        </is>
      </c>
      <c r="G6" s="14">
        <f>MAX(1,ROUND(42*5/100,0))</f>
        <v/>
      </c>
      <c r="H6" s="14">
        <f>MAX(1,ROUND(IF('② パラメータ'!C36="率",42*(1+'② パラメータ'!B43*('② パラメータ'!C34-1)),42+'② パラメータ'!B43*('② パラメータ'!C34-1))*5/100,0))</f>
        <v/>
      </c>
      <c r="I6" s="19">
        <f>IF(G6=0,0,H6/G6)</f>
        <v/>
      </c>
    </row>
    <row r="7">
      <c r="A7" s="6" t="inlineStr">
        <is>
          <t>終末の巨人</t>
        </is>
      </c>
      <c r="B7" s="6" t="inlineStr">
        <is>
          <t>スルト</t>
        </is>
      </c>
      <c r="C7" s="6" t="inlineStr">
        <is>
          <t>S</t>
        </is>
      </c>
      <c r="D7" s="6" t="inlineStr">
        <is>
          <t>atk_modifier</t>
        </is>
      </c>
      <c r="E7" s="6" t="inlineStr">
        <is>
          <t>20%</t>
        </is>
      </c>
      <c r="F7" s="6" t="inlineStr">
        <is>
          <t>受ける側のATK</t>
        </is>
      </c>
      <c r="G7" s="14">
        <f>MAX(1,ROUND(10*20/100,0))</f>
        <v/>
      </c>
      <c r="H7" s="14">
        <f>MAX(1,ROUND(IF('② パラメータ'!C36="率",10*(1+'② パラメータ'!C43*('② パラメータ'!C34-1)),10+'② パラメータ'!C43*('② パラメータ'!C34-1))*20/100,0))</f>
        <v/>
      </c>
      <c r="I7" s="19">
        <f>IF(G7=0,0,H7/G7)</f>
        <v/>
      </c>
    </row>
    <row r="8">
      <c r="A8" s="6" t="inlineStr">
        <is>
          <t>終末の進軍</t>
        </is>
      </c>
      <c r="B8" s="6" t="inlineStr">
        <is>
          <t>スルト</t>
        </is>
      </c>
      <c r="C8" s="6" t="inlineStr">
        <is>
          <t>S</t>
        </is>
      </c>
      <c r="D8" s="6" t="inlineStr">
        <is>
          <t>next_attack_atk_modifier</t>
        </is>
      </c>
      <c r="E8" s="6" t="inlineStr">
        <is>
          <t>30%</t>
        </is>
      </c>
      <c r="F8" s="6" t="inlineStr">
        <is>
          <t>使う側のATK</t>
        </is>
      </c>
      <c r="G8" s="14">
        <f>MAX(1,ROUND(10*30/100,0))</f>
        <v/>
      </c>
      <c r="H8" s="14">
        <f>MAX(1,ROUND(IF('② パラメータ'!C36="率",10*(1+'② パラメータ'!C43*('② パラメータ'!C34-1)),10+'② パラメータ'!C43*('② パラメータ'!C34-1))*30/100,0))</f>
        <v/>
      </c>
      <c r="I8" s="19">
        <f>IF(G8=0,0,H8/G8)</f>
        <v/>
      </c>
    </row>
    <row r="9">
      <c r="A9" s="6" t="inlineStr">
        <is>
          <t>先駆の魔狼</t>
        </is>
      </c>
      <c r="B9" s="6" t="inlineStr">
        <is>
          <t>フェンリル</t>
        </is>
      </c>
      <c r="C9" s="6" t="inlineStr">
        <is>
          <t>S</t>
        </is>
      </c>
      <c r="D9" s="6" t="inlineStr">
        <is>
          <t>next_attack_atk_modifier</t>
        </is>
      </c>
      <c r="E9" s="6" t="inlineStr">
        <is>
          <t>50%</t>
        </is>
      </c>
      <c r="F9" s="6" t="inlineStr">
        <is>
          <t>使う側のATK</t>
        </is>
      </c>
      <c r="G9" s="14">
        <f>MAX(1,ROUND(11*50/100,0))</f>
        <v/>
      </c>
      <c r="H9" s="14">
        <f>MAX(1,ROUND(IF('② パラメータ'!C36="率",11*(1+'② パラメータ'!C43*('② パラメータ'!C34-1)),11+'② パラメータ'!C43*('② パラメータ'!C34-1))*50/100,0))</f>
        <v/>
      </c>
      <c r="I9" s="19">
        <f>IF(G9=0,0,H9/G9)</f>
        <v/>
      </c>
    </row>
    <row r="10">
      <c r="A10" s="6" t="inlineStr">
        <is>
          <t>世界を囲む蛇</t>
        </is>
      </c>
      <c r="B10" s="6" t="inlineStr">
        <is>
          <t>ヨルムンガンド</t>
        </is>
      </c>
      <c r="C10" s="6" t="inlineStr">
        <is>
          <t>S</t>
        </is>
      </c>
      <c r="D10" s="6" t="inlineStr">
        <is>
          <t>atk_modifier</t>
        </is>
      </c>
      <c r="E10" s="6" t="inlineStr">
        <is>
          <t>-15%</t>
        </is>
      </c>
      <c r="F10" s="6" t="inlineStr">
        <is>
          <t>受ける側のATK</t>
        </is>
      </c>
      <c r="G10" s="14">
        <f>MAX(1,ROUND(7*15/100,0))</f>
        <v/>
      </c>
      <c r="H10" s="14">
        <f>MAX(1,ROUND(IF('② パラメータ'!C36="率",7*(1+'② パラメータ'!C43*('② パラメータ'!C34-1)),7+'② パラメータ'!C43*('② パラメータ'!C34-1))*15/100,0))</f>
        <v/>
      </c>
      <c r="I10" s="19">
        <f>IF(G10=0,0,H10/G10)</f>
        <v/>
      </c>
    </row>
    <row r="11">
      <c r="A11" s="6" t="inlineStr">
        <is>
          <t>世界毒</t>
        </is>
      </c>
      <c r="B11" s="6" t="inlineStr">
        <is>
          <t>ヨルムンガンド</t>
        </is>
      </c>
      <c r="C11" s="6" t="inlineStr">
        <is>
          <t>S</t>
        </is>
      </c>
      <c r="D11" s="6" t="inlineStr">
        <is>
          <t>damage</t>
        </is>
      </c>
      <c r="E11" s="6" t="inlineStr">
        <is>
          <t>60%</t>
        </is>
      </c>
      <c r="F11" s="6" t="inlineStr">
        <is>
          <t>使う側のATK</t>
        </is>
      </c>
      <c r="G11" s="14">
        <f>MAX(1,ROUND(7*60/100,0))</f>
        <v/>
      </c>
      <c r="H11" s="14">
        <f>MAX(1,ROUND(IF('② パラメータ'!C36="率",7*(1+'② パラメータ'!C43*('② パラメータ'!C34-1)),7+'② パラメータ'!C43*('② パラメータ'!C34-1))*60/100,0))</f>
        <v/>
      </c>
      <c r="I11" s="19">
        <f>IF(G11=0,0,H11/G11)</f>
        <v/>
      </c>
    </row>
    <row r="12">
      <c r="A12" s="6" t="inlineStr">
        <is>
          <t>世界毒</t>
        </is>
      </c>
      <c r="B12" s="6" t="inlineStr">
        <is>
          <t>ヨルムンガンド</t>
        </is>
      </c>
      <c r="C12" s="6" t="inlineStr">
        <is>
          <t>S</t>
        </is>
      </c>
      <c r="D12" s="6" t="inlineStr">
        <is>
          <t>status</t>
        </is>
      </c>
      <c r="E12" s="6" t="inlineStr">
        <is>
          <t>30%</t>
        </is>
      </c>
      <c r="F12" s="6" t="inlineStr">
        <is>
          <t>使う側のATK</t>
        </is>
      </c>
      <c r="G12" s="14">
        <f>MAX(1,ROUND(7*30/100,0))</f>
        <v/>
      </c>
      <c r="H12" s="14">
        <f>MAX(1,ROUND(IF('② パラメータ'!C36="率",7*(1+'② パラメータ'!C43*('② パラメータ'!C34-1)),7+'② パラメータ'!C43*('② パラメータ'!C34-1))*30/100,0))</f>
        <v/>
      </c>
      <c r="I12" s="19">
        <f>IF(G12=0,0,H12/G12)</f>
        <v/>
      </c>
    </row>
    <row r="13">
      <c r="A13" s="6" t="inlineStr">
        <is>
          <t>冥府の呼び声</t>
        </is>
      </c>
      <c r="B13" s="6" t="inlineStr">
        <is>
          <t>ヘル</t>
        </is>
      </c>
      <c r="C13" s="6" t="inlineStr">
        <is>
          <t>S</t>
        </is>
      </c>
      <c r="D13" s="6" t="inlineStr">
        <is>
          <t>revive</t>
        </is>
      </c>
      <c r="E13" s="6" t="inlineStr">
        <is>
          <t>30%</t>
        </is>
      </c>
      <c r="F13" s="6" t="inlineStr">
        <is>
          <t>受ける側の最大HP</t>
        </is>
      </c>
      <c r="G13" s="14">
        <f>MAX(1,ROUND(58*30/100,0))</f>
        <v/>
      </c>
      <c r="H13" s="14">
        <f>MAX(1,ROUND(IF('② パラメータ'!C36="率",58*(1+'② パラメータ'!B43*('② パラメータ'!C34-1)),58+'② パラメータ'!B43*('② パラメータ'!C34-1))*30/100,0))</f>
        <v/>
      </c>
      <c r="I13" s="19">
        <f>IF(G13=0,0,H13/G13)</f>
        <v/>
      </c>
    </row>
    <row r="14">
      <c r="A14" s="6" t="inlineStr">
        <is>
          <t>蠅王の瘴気</t>
        </is>
      </c>
      <c r="B14" s="6" t="inlineStr">
        <is>
          <t>ベルゼブブ</t>
        </is>
      </c>
      <c r="C14" s="6" t="inlineStr">
        <is>
          <t>A</t>
        </is>
      </c>
      <c r="D14" s="6" t="inlineStr">
        <is>
          <t>status</t>
        </is>
      </c>
      <c r="E14" s="6" t="inlineStr">
        <is>
          <t>40%</t>
        </is>
      </c>
      <c r="F14" s="6" t="inlineStr">
        <is>
          <t>使う側のATK</t>
        </is>
      </c>
      <c r="G14" s="14">
        <f>MAX(1,ROUND(8*40/100,0))</f>
        <v/>
      </c>
      <c r="H14" s="14">
        <f>MAX(1,ROUND(IF('② パラメータ'!C36="率",8*(1+'② パラメータ'!C42*('② パラメータ'!C34-1)),8+'② パラメータ'!C42*('② パラメータ'!C34-1))*40/100,0))</f>
        <v/>
      </c>
      <c r="I14" s="19">
        <f>IF(G14=0,0,H14/G14)</f>
        <v/>
      </c>
    </row>
    <row r="15">
      <c r="A15" s="6" t="inlineStr">
        <is>
          <t>色欲の権能</t>
        </is>
      </c>
      <c r="B15" s="6" t="inlineStr">
        <is>
          <t>アスモデウス</t>
        </is>
      </c>
      <c r="C15" s="6" t="inlineStr">
        <is>
          <t>A</t>
        </is>
      </c>
      <c r="D15" s="6" t="inlineStr">
        <is>
          <t>atk_modifier</t>
        </is>
      </c>
      <c r="E15" s="6" t="inlineStr">
        <is>
          <t>15%</t>
        </is>
      </c>
      <c r="F15" s="6" t="inlineStr">
        <is>
          <t>受ける側のATK</t>
        </is>
      </c>
      <c r="G15" s="14">
        <f>MAX(1,ROUND(10*15/100,0))</f>
        <v/>
      </c>
      <c r="H15" s="14">
        <f>MAX(1,ROUND(IF('② パラメータ'!C36="率",10*(1+'② パラメータ'!C42*('② パラメータ'!C34-1)),10+'② パラメータ'!C42*('② パラメータ'!C34-1))*15/100,0))</f>
        <v/>
      </c>
      <c r="I15" s="19">
        <f>IF(G15=0,0,H15/G15)</f>
        <v/>
      </c>
    </row>
    <row r="16">
      <c r="A16" s="6" t="inlineStr">
        <is>
          <t>強欲</t>
        </is>
      </c>
      <c r="B16" s="6" t="inlineStr">
        <is>
          <t>マモン</t>
        </is>
      </c>
      <c r="C16" s="6" t="inlineStr">
        <is>
          <t>A</t>
        </is>
      </c>
      <c r="D16" s="6" t="inlineStr">
        <is>
          <t>atk_modifier</t>
        </is>
      </c>
      <c r="E16" s="6" t="inlineStr">
        <is>
          <t>-25%</t>
        </is>
      </c>
      <c r="F16" s="6" t="inlineStr">
        <is>
          <t>受ける側のATK</t>
        </is>
      </c>
      <c r="G16" s="14">
        <f>MAX(1,ROUND(10*25/100,0))</f>
        <v/>
      </c>
      <c r="H16" s="14">
        <f>MAX(1,ROUND(IF('② パラメータ'!C36="率",10*(1+'② パラメータ'!C42*('② パラメータ'!C34-1)),10+'② パラメータ'!C42*('② パラメータ'!C34-1))*25/100,0))</f>
        <v/>
      </c>
      <c r="I16" s="19">
        <f>IF(G16=0,0,H16/G16)</f>
        <v/>
      </c>
    </row>
    <row r="17">
      <c r="A17" s="6" t="inlineStr">
        <is>
          <t>強欲</t>
        </is>
      </c>
      <c r="B17" s="6" t="inlineStr">
        <is>
          <t>マモン</t>
        </is>
      </c>
      <c r="C17" s="6" t="inlineStr">
        <is>
          <t>A</t>
        </is>
      </c>
      <c r="D17" s="6" t="inlineStr">
        <is>
          <t>atk_modifier</t>
        </is>
      </c>
      <c r="E17" s="6" t="inlineStr">
        <is>
          <t>20%</t>
        </is>
      </c>
      <c r="F17" s="6" t="inlineStr">
        <is>
          <t>受ける側のATK</t>
        </is>
      </c>
      <c r="G17" s="14">
        <f>MAX(1,ROUND(10*20/100,0))</f>
        <v/>
      </c>
      <c r="H17" s="14">
        <f>MAX(1,ROUND(IF('② パラメータ'!C36="率",10*(1+'② パラメータ'!C42*('② パラメータ'!C34-1)),10+'② パラメータ'!C42*('② パラメータ'!C34-1))*20/100,0))</f>
        <v/>
      </c>
      <c r="I17" s="19">
        <f>IF(G17=0,0,H17/G17)</f>
        <v/>
      </c>
    </row>
    <row r="18">
      <c r="A18" s="6" t="inlineStr">
        <is>
          <t>黄金の加護</t>
        </is>
      </c>
      <c r="B18" s="6" t="inlineStr">
        <is>
          <t>ファフニール</t>
        </is>
      </c>
      <c r="C18" s="6" t="inlineStr">
        <is>
          <t>A</t>
        </is>
      </c>
      <c r="D18" s="6" t="inlineStr">
        <is>
          <t>heal</t>
        </is>
      </c>
      <c r="E18" s="6" t="inlineStr">
        <is>
          <t>65%</t>
        </is>
      </c>
      <c r="F18" s="6" t="inlineStr">
        <is>
          <t>受ける側の最大HP</t>
        </is>
      </c>
      <c r="G18" s="14">
        <f>MAX(1,ROUND(45*65/100,0))</f>
        <v/>
      </c>
      <c r="H18" s="14">
        <f>MAX(1,ROUND(IF('② パラメータ'!C36="率",45*(1+'② パラメータ'!B42*('② パラメータ'!C34-1)),45+'② パラメータ'!B42*('② パラメータ'!C34-1))*65/100,0))</f>
        <v/>
      </c>
      <c r="I18" s="19">
        <f>IF(G18=0,0,H18/G18)</f>
        <v/>
      </c>
    </row>
    <row r="19">
      <c r="A19" s="6" t="inlineStr">
        <is>
          <t>奈落崩壊</t>
        </is>
      </c>
      <c r="B19" s="6" t="inlineStr">
        <is>
          <t>アバドン</t>
        </is>
      </c>
      <c r="C19" s="6" t="inlineStr">
        <is>
          <t>A</t>
        </is>
      </c>
      <c r="D19" s="6" t="inlineStr">
        <is>
          <t>damage</t>
        </is>
      </c>
      <c r="E19" s="6" t="inlineStr">
        <is>
          <t>45%</t>
        </is>
      </c>
      <c r="F19" s="6" t="inlineStr">
        <is>
          <t>使う側のATK</t>
        </is>
      </c>
      <c r="G19" s="14">
        <f>MAX(1,ROUND(10*45/100,0))</f>
        <v/>
      </c>
      <c r="H19" s="14">
        <f>MAX(1,ROUND(IF('② パラメータ'!C36="率",10*(1+'② パラメータ'!C42*('② パラメータ'!C34-1)),10+'② パラメータ'!C42*('② パラメータ'!C34-1))*45/100,0))</f>
        <v/>
      </c>
      <c r="I19" s="19">
        <f>IF(G19=0,0,H19/G19)</f>
        <v/>
      </c>
    </row>
    <row r="20">
      <c r="A20" s="6" t="inlineStr">
        <is>
          <t>妖狐幻術</t>
        </is>
      </c>
      <c r="B20" s="6" t="inlineStr">
        <is>
          <t>キュウビ</t>
        </is>
      </c>
      <c r="C20" s="6" t="inlineStr">
        <is>
          <t>A</t>
        </is>
      </c>
      <c r="D20" s="6" t="inlineStr">
        <is>
          <t>speed_modifier</t>
        </is>
      </c>
      <c r="E20" s="6" t="inlineStr">
        <is>
          <t>-20%</t>
        </is>
      </c>
      <c r="F20" s="6" t="inlineStr">
        <is>
          <t>SPDの上限(100)</t>
        </is>
      </c>
      <c r="G20" s="14" t="n">
        <v>20</v>
      </c>
      <c r="H20" s="14" t="n">
        <v>20</v>
      </c>
      <c r="I20" s="9" t="inlineStr">
        <is>
          <t>—</t>
        </is>
      </c>
    </row>
    <row r="21">
      <c r="A21" s="6" t="inlineStr">
        <is>
          <t>夜の誘惑</t>
        </is>
      </c>
      <c r="B21" s="6" t="inlineStr">
        <is>
          <t>リリス</t>
        </is>
      </c>
      <c r="C21" s="6" t="inlineStr">
        <is>
          <t>A</t>
        </is>
      </c>
      <c r="D21" s="6" t="inlineStr">
        <is>
          <t>atk_modifier</t>
        </is>
      </c>
      <c r="E21" s="6" t="inlineStr">
        <is>
          <t>-25%</t>
        </is>
      </c>
      <c r="F21" s="6" t="inlineStr">
        <is>
          <t>受ける側のATK</t>
        </is>
      </c>
      <c r="G21" s="14">
        <f>MAX(1,ROUND(9*25/100,0))</f>
        <v/>
      </c>
      <c r="H21" s="14">
        <f>MAX(1,ROUND(IF('② パラメータ'!C36="率",9*(1+'② パラメータ'!C42*('② パラメータ'!C34-1)),9+'② パラメータ'!C42*('② パラメータ'!C34-1))*25/100,0))</f>
        <v/>
      </c>
      <c r="I21" s="19">
        <f>IF(G21=0,0,H21/G21)</f>
        <v/>
      </c>
    </row>
    <row r="22">
      <c r="A22" s="6" t="inlineStr">
        <is>
          <t>再誕の炎</t>
        </is>
      </c>
      <c r="B22" s="6" t="inlineStr">
        <is>
          <t>フェニックス</t>
        </is>
      </c>
      <c r="C22" s="6" t="inlineStr">
        <is>
          <t>A</t>
        </is>
      </c>
      <c r="D22" s="6" t="inlineStr">
        <is>
          <t>revive</t>
        </is>
      </c>
      <c r="E22" s="6" t="inlineStr">
        <is>
          <t>50%</t>
        </is>
      </c>
      <c r="F22" s="6" t="inlineStr">
        <is>
          <t>受ける側の最大HP</t>
        </is>
      </c>
      <c r="G22" s="14">
        <f>MAX(1,ROUND(35*50/100,0))</f>
        <v/>
      </c>
      <c r="H22" s="14">
        <f>MAX(1,ROUND(IF('② パラメータ'!C36="率",35*(1+'② パラメータ'!B42*('② パラメータ'!C34-1)),35+'② パラメータ'!B42*('② パラメータ'!C34-1))*50/100,0))</f>
        <v/>
      </c>
      <c r="I22" s="19">
        <f>IF(G22=0,0,H22/G22)</f>
        <v/>
      </c>
    </row>
    <row r="23">
      <c r="A23" s="6" t="inlineStr">
        <is>
          <t>暴風の翼</t>
        </is>
      </c>
      <c r="B23" s="6" t="inlineStr">
        <is>
          <t>フレースヴェルグ</t>
        </is>
      </c>
      <c r="C23" s="6" t="inlineStr">
        <is>
          <t>B</t>
        </is>
      </c>
      <c r="D23" s="6" t="inlineStr">
        <is>
          <t>speed_modifier</t>
        </is>
      </c>
      <c r="E23" s="6" t="inlineStr">
        <is>
          <t>-5%</t>
        </is>
      </c>
      <c r="F23" s="6" t="inlineStr">
        <is>
          <t>SPDの上限(100)</t>
        </is>
      </c>
      <c r="G23" s="14" t="n">
        <v>5</v>
      </c>
      <c r="H23" s="14" t="n">
        <v>5</v>
      </c>
      <c r="I23" s="9" t="inlineStr">
        <is>
          <t>—</t>
        </is>
      </c>
    </row>
    <row r="24">
      <c r="A24" s="6" t="inlineStr">
        <is>
          <t>三頭の狩り</t>
        </is>
      </c>
      <c r="B24" s="6" t="inlineStr">
        <is>
          <t>ケルベロス</t>
        </is>
      </c>
      <c r="C24" s="6" t="inlineStr">
        <is>
          <t>B</t>
        </is>
      </c>
      <c r="D24" s="6" t="inlineStr">
        <is>
          <t>next_attack_atk_modifier</t>
        </is>
      </c>
      <c r="E24" s="6" t="inlineStr">
        <is>
          <t>25%</t>
        </is>
      </c>
      <c r="F24" s="6" t="inlineStr">
        <is>
          <t>使う側のATK</t>
        </is>
      </c>
      <c r="G24" s="14">
        <f>MAX(1,ROUND(8*25/100,0))</f>
        <v/>
      </c>
      <c r="H24" s="14">
        <f>MAX(1,ROUND(IF('② パラメータ'!C36="率",8*(1+'② パラメータ'!C41*('② パラメータ'!C34-1)),8+'② パラメータ'!C41*('② パラメータ'!C34-1))*25/100,0))</f>
        <v/>
      </c>
      <c r="I24" s="19">
        <f>IF(G24=0,0,H24/G24)</f>
        <v/>
      </c>
    </row>
    <row r="25">
      <c r="A25" s="6" t="inlineStr">
        <is>
          <t>異形の狩り</t>
        </is>
      </c>
      <c r="B25" s="6" t="inlineStr">
        <is>
          <t>キマイラ</t>
        </is>
      </c>
      <c r="C25" s="6" t="inlineStr">
        <is>
          <t>B</t>
        </is>
      </c>
      <c r="D25" s="6" t="inlineStr">
        <is>
          <t>next_attack_atk_modifier</t>
        </is>
      </c>
      <c r="E25" s="6" t="inlineStr">
        <is>
          <t>30%</t>
        </is>
      </c>
      <c r="F25" s="6" t="inlineStr">
        <is>
          <t>使う側のATK</t>
        </is>
      </c>
      <c r="G25" s="14">
        <f>MAX(1,ROUND(7*30/100,0))</f>
        <v/>
      </c>
      <c r="H25" s="14">
        <f>MAX(1,ROUND(IF('② パラメータ'!C36="率",7*(1+'② パラメータ'!C41*('② パラメータ'!C34-1)),7+'② パラメータ'!C41*('② パラメータ'!C34-1))*30/100,0))</f>
        <v/>
      </c>
      <c r="I25" s="19">
        <f>IF(G25=0,0,H25/G25)</f>
        <v/>
      </c>
    </row>
    <row r="26">
      <c r="A26" s="6" t="inlineStr">
        <is>
          <t>凍てつく風</t>
        </is>
      </c>
      <c r="B26" s="6" t="inlineStr">
        <is>
          <t>雪女</t>
        </is>
      </c>
      <c r="C26" s="6" t="inlineStr">
        <is>
          <t>B</t>
        </is>
      </c>
      <c r="D26" s="6" t="inlineStr">
        <is>
          <t>speed_modifier</t>
        </is>
      </c>
      <c r="E26" s="6" t="inlineStr">
        <is>
          <t>-5%</t>
        </is>
      </c>
      <c r="F26" s="6" t="inlineStr">
        <is>
          <t>SPDの上限(100)</t>
        </is>
      </c>
      <c r="G26" s="14" t="n">
        <v>5</v>
      </c>
      <c r="H26" s="14" t="n">
        <v>5</v>
      </c>
      <c r="I26" s="9" t="inlineStr">
        <is>
          <t>—</t>
        </is>
      </c>
    </row>
    <row r="27">
      <c r="A27" s="6" t="inlineStr">
        <is>
          <t>堕天の鼓舞</t>
        </is>
      </c>
      <c r="B27" s="6" t="inlineStr">
        <is>
          <t>アザゼル</t>
        </is>
      </c>
      <c r="C27" s="6" t="inlineStr">
        <is>
          <t>B</t>
        </is>
      </c>
      <c r="D27" s="6" t="inlineStr">
        <is>
          <t>atk_modifier</t>
        </is>
      </c>
      <c r="E27" s="6" t="inlineStr">
        <is>
          <t>15%</t>
        </is>
      </c>
      <c r="F27" s="6" t="inlineStr">
        <is>
          <t>受ける側のATK</t>
        </is>
      </c>
      <c r="G27" s="14">
        <f>MAX(1,ROUND(7*15/100,0))</f>
        <v/>
      </c>
      <c r="H27" s="14">
        <f>MAX(1,ROUND(IF('② パラメータ'!C36="率",7*(1+'② パラメータ'!C41*('② パラメータ'!C34-1)),7+'② パラメータ'!C41*('② パラメータ'!C34-1))*15/100,0))</f>
        <v/>
      </c>
      <c r="I27" s="19">
        <f>IF(G27=0,0,H27/G27)</f>
        <v/>
      </c>
    </row>
    <row r="28">
      <c r="A28" s="6" t="inlineStr">
        <is>
          <t>王の施し</t>
        </is>
      </c>
      <c r="B28" s="6" t="inlineStr">
        <is>
          <t>パイモン</t>
        </is>
      </c>
      <c r="C28" s="6" t="inlineStr">
        <is>
          <t>B</t>
        </is>
      </c>
      <c r="D28" s="6" t="inlineStr">
        <is>
          <t>heal</t>
        </is>
      </c>
      <c r="E28" s="6" t="inlineStr">
        <is>
          <t>12%</t>
        </is>
      </c>
      <c r="F28" s="6" t="inlineStr">
        <is>
          <t>受ける側の最大HP</t>
        </is>
      </c>
      <c r="G28" s="14">
        <f>MAX(1,ROUND(31*12/100,0))</f>
        <v/>
      </c>
      <c r="H28" s="14">
        <f>MAX(1,ROUND(IF('② パラメータ'!C36="率",31*(1+'② パラメータ'!B41*('② パラメータ'!C34-1)),31+'② パラメータ'!B41*('② パラメータ'!C34-1))*12/100,0))</f>
        <v/>
      </c>
      <c r="I28" s="19">
        <f>IF(G28=0,0,H28/G28)</f>
        <v/>
      </c>
    </row>
    <row r="29">
      <c r="A29" s="6" t="inlineStr">
        <is>
          <t>惑わしの歌</t>
        </is>
      </c>
      <c r="B29" s="6" t="inlineStr">
        <is>
          <t>セイレーン</t>
        </is>
      </c>
      <c r="C29" s="6" t="inlineStr">
        <is>
          <t>B</t>
        </is>
      </c>
      <c r="D29" s="6" t="inlineStr">
        <is>
          <t>atk_modifier</t>
        </is>
      </c>
      <c r="E29" s="6" t="inlineStr">
        <is>
          <t>-15%</t>
        </is>
      </c>
      <c r="F29" s="6" t="inlineStr">
        <is>
          <t>受ける側のATK</t>
        </is>
      </c>
      <c r="G29" s="14">
        <f>MAX(1,ROUND(7*15/100,0))</f>
        <v/>
      </c>
      <c r="H29" s="14">
        <f>MAX(1,ROUND(IF('② パラメータ'!C36="率",7*(1+'② パラメータ'!C41*('② パラメータ'!C34-1)),7+'② パラメータ'!C41*('② パラメータ'!C34-1))*15/100,0))</f>
        <v/>
      </c>
      <c r="I29" s="19">
        <f>IF(G29=0,0,H29/G29)</f>
        <v/>
      </c>
    </row>
    <row r="30">
      <c r="A30" s="6" t="inlineStr">
        <is>
          <t>深海の拘束</t>
        </is>
      </c>
      <c r="B30" s="6" t="inlineStr">
        <is>
          <t>クラーケン</t>
        </is>
      </c>
      <c r="C30" s="6" t="inlineStr">
        <is>
          <t>B</t>
        </is>
      </c>
      <c r="D30" s="6" t="inlineStr">
        <is>
          <t>speed_modifier</t>
        </is>
      </c>
      <c r="E30" s="6" t="inlineStr">
        <is>
          <t>-4%</t>
        </is>
      </c>
      <c r="F30" s="6" t="inlineStr">
        <is>
          <t>SPDの上限(100)</t>
        </is>
      </c>
      <c r="G30" s="14" t="n">
        <v>4</v>
      </c>
      <c r="H30" s="14" t="n">
        <v>4</v>
      </c>
      <c r="I30" s="9" t="inlineStr">
        <is>
          <t>—</t>
        </is>
      </c>
    </row>
    <row r="31">
      <c r="A31" s="6" t="inlineStr">
        <is>
          <t>首無し騎士</t>
        </is>
      </c>
      <c r="B31" s="6" t="inlineStr">
        <is>
          <t>デュラハン</t>
        </is>
      </c>
      <c r="C31" s="6" t="inlineStr">
        <is>
          <t>B</t>
        </is>
      </c>
      <c r="D31" s="6" t="inlineStr">
        <is>
          <t>survive_with_hp</t>
        </is>
      </c>
      <c r="E31" s="6" t="inlineStr">
        <is>
          <t>4%</t>
        </is>
      </c>
      <c r="F31" s="6" t="inlineStr">
        <is>
          <t>受ける側の最大HP</t>
        </is>
      </c>
      <c r="G31" s="14">
        <f>MAX(1,ROUND(29*4/100,0))</f>
        <v/>
      </c>
      <c r="H31" s="14">
        <f>MAX(1,ROUND(IF('② パラメータ'!C36="率",29*(1+'② パラメータ'!B41*('② パラメータ'!C34-1)),29+'② パラメータ'!B41*('② パラメータ'!C34-1))*4/100,0))</f>
        <v/>
      </c>
      <c r="I31" s="19">
        <f>IF(G31=0,0,H31/G31)</f>
        <v/>
      </c>
    </row>
    <row r="32">
      <c r="A32" s="6" t="inlineStr">
        <is>
          <t>灼熱</t>
        </is>
      </c>
      <c r="B32" s="6" t="inlineStr">
        <is>
          <t>イフリート</t>
        </is>
      </c>
      <c r="C32" s="6" t="inlineStr">
        <is>
          <t>B</t>
        </is>
      </c>
      <c r="D32" s="6" t="inlineStr">
        <is>
          <t>damage</t>
        </is>
      </c>
      <c r="E32" s="6" t="inlineStr">
        <is>
          <t>75%</t>
        </is>
      </c>
      <c r="F32" s="6" t="inlineStr">
        <is>
          <t>使う側のATK</t>
        </is>
      </c>
      <c r="G32" s="14">
        <f>MAX(1,ROUND(8*75/100,0))</f>
        <v/>
      </c>
      <c r="H32" s="14">
        <f>MAX(1,ROUND(IF('② パラメータ'!C36="率",8*(1+'② パラメータ'!C41*('② パラメータ'!C34-1)),8+'② パラメータ'!C41*('② パラメータ'!C34-1))*75/100,0))</f>
        <v/>
      </c>
      <c r="I32" s="19">
        <f>IF(G32=0,0,H32/G32)</f>
        <v/>
      </c>
    </row>
    <row r="33">
      <c r="A33" s="6" t="inlineStr">
        <is>
          <t>死者の慟哭</t>
        </is>
      </c>
      <c r="B33" s="6" t="inlineStr">
        <is>
          <t>バンシー</t>
        </is>
      </c>
      <c r="C33" s="6" t="inlineStr">
        <is>
          <t>B</t>
        </is>
      </c>
      <c r="D33" s="6" t="inlineStr">
        <is>
          <t>heal</t>
        </is>
      </c>
      <c r="E33" s="6" t="inlineStr">
        <is>
          <t>25%</t>
        </is>
      </c>
      <c r="F33" s="6" t="inlineStr">
        <is>
          <t>受ける側の最大HP</t>
        </is>
      </c>
      <c r="G33" s="14">
        <f>MAX(1,ROUND(27*25/100,0))</f>
        <v/>
      </c>
      <c r="H33" s="14">
        <f>MAX(1,ROUND(IF('② パラメータ'!C36="率",27*(1+'② パラメータ'!B41*('② パラメータ'!C34-1)),27+'② パラメータ'!B41*('② パラメータ'!C34-1))*25/100,0))</f>
        <v/>
      </c>
      <c r="I33" s="19">
        <f>IF(G33=0,0,H33/G33)</f>
        <v/>
      </c>
    </row>
    <row r="34">
      <c r="A34" s="6" t="inlineStr">
        <is>
          <t>天駆の加護</t>
        </is>
      </c>
      <c r="B34" s="6" t="inlineStr">
        <is>
          <t>ペガサス</t>
        </is>
      </c>
      <c r="C34" s="6" t="inlineStr">
        <is>
          <t>B</t>
        </is>
      </c>
      <c r="D34" s="6" t="inlineStr">
        <is>
          <t>speed_modifier</t>
        </is>
      </c>
      <c r="E34" s="6" t="inlineStr">
        <is>
          <t>12%</t>
        </is>
      </c>
      <c r="F34" s="6" t="inlineStr">
        <is>
          <t>SPDの上限(100)</t>
        </is>
      </c>
      <c r="G34" s="14" t="n">
        <v>12</v>
      </c>
      <c r="H34" s="14" t="n">
        <v>12</v>
      </c>
      <c r="I34" s="9" t="inlineStr">
        <is>
          <t>—</t>
        </is>
      </c>
    </row>
  </sheetData>
  <autoFilter ref="A5:I34"/>
  <mergeCells count="3">
    <mergeCell ref="A1:I1"/>
    <mergeCell ref="A3:I3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2026-08-22T05:10:20Z</dcterms:created>
  <dcterms:modified xsi:type="dcterms:W3CDTF">2026-08-22T05:10:20Z</dcterms:modified>
</cp:coreProperties>
</file>