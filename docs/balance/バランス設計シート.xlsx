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使い方" sheetId="1" state="visible" r:id="rId1"/>
    <sheet name="② 使い魔一覧" sheetId="2" state="visible" r:id="rId2"/>
    <sheet name="③ パラメータ" sheetId="3" state="visible" r:id="rId3"/>
    <sheet name="④ ガチャ試算" sheetId="4" state="visible" r:id="rId4"/>
    <sheet name="⑤ 成長試算" sheetId="5" state="visible" r:id="rId5"/>
    <sheet name="⑥ デッキ試算" sheetId="6" state="visible" r:id="rId6"/>
    <sheet name="⑦ AIプロンプト" sheetId="7" state="visible" r:id="rId7"/>
  </sheets>
  <definedNames>
    <definedName name="_xlnm._FilterDatabase" localSheetId="1" hidden="1">'② 使い魔一覧'!$A$5:$S$55</definedName>
    <definedName name="_xlnm._FilterDatabase" localSheetId="5" hidden="1">'⑥ デッキ試算'!$A$5:$M$119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&quot;%&quot;"/>
    <numFmt numFmtId="165" formatCode="0.000%"/>
    <numFmt numFmtId="166" formatCode="0.0%"/>
    <numFmt numFmtId="167" formatCode="0.0"/>
    <numFmt numFmtId="168" formatCode="0.00&quot;倍&quot;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color rgb="00666666"/>
      <sz val="9"/>
    </font>
    <font>
      <b val="1"/>
      <sz val="10"/>
    </font>
    <font>
      <b val="1"/>
      <color rgb="00CC0000"/>
    </font>
  </fonts>
  <fills count="6">
    <fill>
      <patternFill/>
    </fill>
    <fill>
      <patternFill patternType="gray125"/>
    </fill>
    <fill>
      <patternFill patternType="solid">
        <fgColor rgb="002B2D31"/>
      </patternFill>
    </fill>
    <fill>
      <patternFill patternType="solid">
        <fgColor rgb="00D9D9D9"/>
      </patternFill>
    </fill>
    <fill>
      <patternFill patternType="solid">
        <fgColor rgb="00EAF3FF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wrapText="1"/>
    </xf>
    <xf numFmtId="0" fontId="0" fillId="0" borderId="1" pivotButton="0" quotePrefix="0" xfId="0"/>
    <xf numFmtId="1" fontId="0" fillId="4" borderId="1" pivotButton="0" quotePrefix="0" xfId="0"/>
    <xf numFmtId="0" fontId="0" fillId="0" borderId="1" applyAlignment="1" pivotButton="0" quotePrefix="0" xfId="0">
      <alignment vertical="top" wrapText="1"/>
    </xf>
    <xf numFmtId="0" fontId="4" fillId="3" borderId="0" pivotButton="0" quotePrefix="0" xfId="0"/>
    <xf numFmtId="0" fontId="0" fillId="4" borderId="1" pivotButton="0" quotePrefix="0" xfId="0"/>
    <xf numFmtId="0" fontId="0" fillId="5" borderId="1" pivotButton="0" quotePrefix="0" xfId="0"/>
    <xf numFmtId="164" fontId="0" fillId="4" borderId="1" pivotButton="0" quotePrefix="0" xfId="0"/>
    <xf numFmtId="0" fontId="5" fillId="0" borderId="0" pivotButton="0" quotePrefix="0" xfId="0"/>
    <xf numFmtId="3" fontId="0" fillId="4" borderId="1" pivotButton="0" quotePrefix="0" xfId="0"/>
    <xf numFmtId="3" fontId="0" fillId="5" borderId="1" pivotButton="0" quotePrefix="0" xfId="0"/>
    <xf numFmtId="165" fontId="0" fillId="4" borderId="1" pivotButton="0" quotePrefix="0" xfId="0"/>
    <xf numFmtId="166" fontId="0" fillId="4" borderId="1" pivotButton="0" quotePrefix="0" xfId="0"/>
    <xf numFmtId="167" fontId="0" fillId="0" borderId="1" pivotButton="0" quotePrefix="0" xfId="0"/>
    <xf numFmtId="167" fontId="0" fillId="4" borderId="1" pivotButton="0" quotePrefix="0" xfId="0"/>
    <xf numFmtId="168" fontId="0" fillId="4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 ht="22" customHeight="1">
      <c r="A1" s="1" t="inlineStr">
        <is>
          <t xml:space="preserve">  ラグナオンライン バランス設計シート</t>
        </is>
      </c>
    </row>
    <row r="2">
      <c r="B2" t="inlineStr"/>
    </row>
    <row r="3">
      <c r="B3" s="2" t="inlineStr">
        <is>
          <t>■ 触ってよいのは黄色のセルだけです</t>
        </is>
      </c>
    </row>
    <row r="4">
      <c r="B4" t="inlineStr">
        <is>
          <t xml:space="preserve">　黄色 … あなたが書き換えるところ（③パラメータに集めてあります）</t>
        </is>
      </c>
    </row>
    <row r="5">
      <c r="B5" t="inlineStr">
        <is>
          <t xml:space="preserve">　水色 … 自動計算。書き換えると数式が消えるので触らないでください</t>
        </is>
      </c>
    </row>
    <row r="6">
      <c r="B6" t="inlineStr"/>
    </row>
    <row r="7">
      <c r="B7" s="2" t="inlineStr">
        <is>
          <t>■ シートの並び</t>
        </is>
      </c>
    </row>
    <row r="8">
      <c r="B8" t="inlineStr">
        <is>
          <t xml:space="preserve">　② 使い魔一覧　… 全50体の能力値とスキル。Lv1とLv10を並べています</t>
        </is>
      </c>
    </row>
    <row r="9">
      <c r="B9" t="inlineStr">
        <is>
          <t xml:space="preserve">　③ パラメータ　… ここだけ書き換えます。ほかのシートはここを見て計算します</t>
        </is>
      </c>
    </row>
    <row r="10">
      <c r="B10" t="inlineStr">
        <is>
          <t xml:space="preserve">　④ ガチャ試算　… 最大レベルにするまでに必要な単発回数とcoin</t>
        </is>
      </c>
    </row>
    <row r="11">
      <c r="B11" t="inlineStr">
        <is>
          <t xml:space="preserve">　⑤ 成長試算　　… ランクごとの平均能力値を Lv1〜Lv10 で並べたもの</t>
        </is>
      </c>
    </row>
    <row r="12">
      <c r="B12" t="inlineStr">
        <is>
          <t xml:space="preserve">　⑥ デッキ試算　… 合計COST20以内の編成と、その平均ステータス</t>
        </is>
      </c>
    </row>
    <row r="13">
      <c r="B13" t="inlineStr">
        <is>
          <t xml:space="preserve">　⑦ AIプロンプト … 生成AIに戦闘シミュレーションを頼むための文章</t>
        </is>
      </c>
    </row>
    <row r="14">
      <c r="B14" t="inlineStr"/>
    </row>
    <row r="15">
      <c r="B15" s="2" t="inlineStr">
        <is>
          <t>■ 今回の前提</t>
        </is>
      </c>
    </row>
    <row r="16">
      <c r="B16" t="inlineStr">
        <is>
          <t xml:space="preserve">　・ガチャは単発だけで計算しています（10連・保証枠は考えていません）</t>
        </is>
      </c>
    </row>
    <row r="17">
      <c r="B17" t="inlineStr">
        <is>
          <t xml:space="preserve">　・プレイヤーの収入は考えていません。必要coinだけを出しています</t>
        </is>
      </c>
    </row>
    <row r="18">
      <c r="B18" t="inlineStr"/>
    </row>
    <row r="19">
      <c r="B19" s="2" t="inlineStr">
        <is>
          <t>■ 成長のしかたは2通り書けます</t>
        </is>
      </c>
    </row>
    <row r="20">
      <c r="B20" t="inlineStr">
        <is>
          <t xml:space="preserve">　③パラメータの「成長のしかた」を『固定』か『率』に切り替えてください。</t>
        </is>
      </c>
    </row>
    <row r="21">
      <c r="B21" t="inlineStr">
        <is>
          <t xml:space="preserve">　　固定 … 合成1回ごとに決まった数だけ増える（例 HP+2）</t>
        </is>
      </c>
    </row>
    <row r="22">
      <c r="B22" t="inlineStr">
        <is>
          <t xml:space="preserve">　　率　 … 素の値に対する割合で増える（例 5% ずつ）</t>
        </is>
      </c>
    </row>
    <row r="23">
      <c r="B23" t="inlineStr">
        <is>
          <t xml:space="preserve">　どちらの数値も③に並べて書いてあるので、切り替えて見比べられます。</t>
        </is>
      </c>
    </row>
    <row r="24">
      <c r="B24" t="inlineStr"/>
    </row>
    <row r="25">
      <c r="B25" s="2" t="inlineStr">
        <is>
          <t>■ 覚えておくと便利なこと</t>
        </is>
      </c>
    </row>
    <row r="26">
      <c r="B26" t="inlineStr">
        <is>
          <t xml:space="preserve">　・最大レベルにするには「同じ使い魔」が（最大レベル−1）×素材数＋1体 必要です</t>
        </is>
      </c>
    </row>
    <row r="27">
      <c r="B27" t="inlineStr">
        <is>
          <t xml:space="preserve">　・ATKの素の値は4〜11しかありません。固定で+1すると1回で10〜25%増える計算です</t>
        </is>
      </c>
    </row>
    <row r="28">
      <c r="B28" t="inlineStr">
        <is>
          <t xml:space="preserve">　・SはAよりATKもSPDも低めです。Sの強みはHPとスキルとCOSTです</t>
        </is>
      </c>
    </row>
    <row r="29">
      <c r="B29" t="inlineStr">
        <is>
          <t xml:space="preserve">　・スキルはATK・最大HPの割合で効くので、能力値を上げると威力も上がります</t>
        </is>
      </c>
    </row>
    <row r="30">
      <c r="B30" t="inlineStr"/>
    </row>
    <row r="31">
      <c r="B31" s="2" t="inlineStr">
        <is>
          <t>■ 決まったら</t>
        </is>
      </c>
    </row>
    <row r="32">
      <c r="B32" t="inlineStr">
        <is>
          <t xml:space="preserve">　数値が決まったら教えてください。data/master/*.json へ反映して</t>
        </is>
      </c>
    </row>
    <row r="33">
      <c r="B33" t="inlineStr">
        <is>
          <t xml:space="preserve">　Discordへ配信します。手で書き換える必要はありません。</t>
        </is>
      </c>
    </row>
    <row r="34">
      <c r="B34" t="inlineStr"/>
    </row>
    <row r="35">
      <c r="B35" s="3" t="inlineStr">
        <is>
          <t>※ このファイルは scripts/make_balance_sheet.py で作り直せます。</t>
        </is>
      </c>
    </row>
    <row r="36">
      <c r="B36" t="inlineStr">
        <is>
          <t xml:space="preserve">　 能力値やスキルは data/master/ の最新の内容を読み込んでいます。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6" customWidth="1" min="2" max="2"/>
    <col width="6" customWidth="1" min="3" max="3"/>
    <col width="7" customWidth="1" min="4" max="4"/>
    <col width="8" customWidth="1" min="5" max="5"/>
    <col width="8" customWidth="1" min="6" max="6"/>
    <col width="8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4" customWidth="1" min="14" max="14"/>
    <col width="56" customWidth="1" min="15" max="15"/>
    <col width="10" customWidth="1" min="16" max="16"/>
    <col width="14" customWidth="1" min="17" max="17"/>
    <col width="56" customWidth="1" min="18" max="18"/>
    <col width="16" customWidth="1" min="19" max="19"/>
  </cols>
  <sheetData>
    <row r="1" ht="22" customHeight="1">
      <c r="A1" s="1" t="inlineStr">
        <is>
          <t xml:space="preserve">  ② 使い魔一覧　— 能力値とスキル</t>
        </is>
      </c>
    </row>
    <row r="2">
      <c r="A2" s="3" t="inlineStr">
        <is>
          <t xml:space="preserve">　　Lv1・Lv10の能力値は③パラメータの成長設定で変わります。「素の値」とスキルは data/master/ の値です。</t>
        </is>
      </c>
    </row>
    <row r="3">
      <c r="A3" s="3" t="inlineStr">
        <is>
          <t xml:space="preserve">　　※ Lv1の時点で既に1回ぶん成長しています（能力値＝素の値×(1+成長率×レベル)）。</t>
        </is>
      </c>
    </row>
    <row r="4">
      <c r="A4" s="4" t="inlineStr"/>
      <c r="B4" s="4" t="inlineStr"/>
      <c r="C4" s="4" t="inlineStr"/>
      <c r="D4" s="4" t="inlineStr"/>
      <c r="E4" s="4" t="inlineStr">
        <is>
          <t>素の値(Lv0)</t>
        </is>
      </c>
      <c r="F4" s="4" t="inlineStr"/>
      <c r="G4" s="4" t="inlineStr"/>
      <c r="H4" s="4" t="inlineStr">
        <is>
          <t>Lv1</t>
        </is>
      </c>
      <c r="I4" s="4" t="inlineStr"/>
      <c r="J4" s="4" t="inlineStr"/>
      <c r="K4" s="4" t="inlineStr">
        <is>
          <t>Lv10</t>
        </is>
      </c>
      <c r="L4" s="4" t="inlineStr"/>
      <c r="M4" s="4" t="inlineStr"/>
      <c r="N4" s="4" t="inlineStr">
        <is>
          <t>ACTIVEスキル</t>
        </is>
      </c>
      <c r="O4" s="4" t="inlineStr"/>
      <c r="P4" s="4" t="inlineStr"/>
      <c r="Q4" s="4" t="inlineStr">
        <is>
          <t>PASSIVEスキル</t>
        </is>
      </c>
      <c r="R4" s="4" t="inlineStr"/>
      <c r="S4" s="4" t="inlineStr"/>
    </row>
    <row r="5">
      <c r="A5" s="4" t="inlineStr">
        <is>
          <t>名前</t>
        </is>
      </c>
      <c r="B5" s="4" t="inlineStr">
        <is>
          <t>ランク</t>
        </is>
      </c>
      <c r="C5" s="4" t="inlineStr">
        <is>
          <t>COST</t>
        </is>
      </c>
      <c r="D5" s="4" t="inlineStr">
        <is>
          <t>性別</t>
        </is>
      </c>
      <c r="E5" s="4" t="inlineStr">
        <is>
          <t>HP</t>
        </is>
      </c>
      <c r="F5" s="4" t="inlineStr">
        <is>
          <t>ATK</t>
        </is>
      </c>
      <c r="G5" s="4" t="inlineStr">
        <is>
          <t>SPD</t>
        </is>
      </c>
      <c r="H5" s="4" t="inlineStr">
        <is>
          <t>HP</t>
        </is>
      </c>
      <c r="I5" s="4" t="inlineStr">
        <is>
          <t>ATK</t>
        </is>
      </c>
      <c r="J5" s="4" t="inlineStr">
        <is>
          <t>SPD</t>
        </is>
      </c>
      <c r="K5" s="4" t="inlineStr">
        <is>
          <t>HP</t>
        </is>
      </c>
      <c r="L5" s="4" t="inlineStr">
        <is>
          <t>ATK</t>
        </is>
      </c>
      <c r="M5" s="4" t="inlineStr">
        <is>
          <t>SPD</t>
        </is>
      </c>
      <c r="N5" s="4" t="inlineStr">
        <is>
          <t>名前</t>
        </is>
      </c>
      <c r="O5" s="4" t="inlineStr">
        <is>
          <t>内容</t>
        </is>
      </c>
      <c r="P5" s="4" t="inlineStr">
        <is>
          <t>使用回数</t>
        </is>
      </c>
      <c r="Q5" s="4" t="inlineStr">
        <is>
          <t>名前</t>
        </is>
      </c>
      <c r="R5" s="4" t="inlineStr">
        <is>
          <t>内容</t>
        </is>
      </c>
      <c r="S5" s="4" t="inlineStr">
        <is>
          <t>発動タイミング</t>
        </is>
      </c>
    </row>
    <row r="6">
      <c r="A6" s="5" t="inlineStr">
        <is>
          <t>フェンリル</t>
        </is>
      </c>
      <c r="B6" s="5" t="inlineStr">
        <is>
          <t>S</t>
        </is>
      </c>
      <c r="C6" s="5" t="n">
        <v>5</v>
      </c>
      <c r="D6" s="5" t="inlineStr">
        <is>
          <t>男性</t>
        </is>
      </c>
      <c r="E6" s="5" t="n">
        <v>34</v>
      </c>
      <c r="F6" s="5" t="n">
        <v>11</v>
      </c>
      <c r="G6" s="5" t="n">
        <v>95</v>
      </c>
      <c r="H6" s="6">
        <f>ROUND(IF('③ パラメータ'!C34="固定",E6+'③ パラメータ'!B28*(1),E6*(1+'③ パラメータ'!D28*(1))),0)</f>
        <v/>
      </c>
      <c r="I6" s="6">
        <f>ROUND(IF('③ パラメータ'!C34="固定",F6+'③ パラメータ'!C28*(1),F6*(1+'③ パラメータ'!E28*(1))),0)</f>
        <v/>
      </c>
      <c r="J6" s="6">
        <f>MIN(100,G6+(INT((1-1)/'③ パラメータ'!C36)+1)*'③ パラメータ'!C35)</f>
        <v/>
      </c>
      <c r="K6" s="6">
        <f>ROUND(IF('③ パラメータ'!C34="固定",E6+'③ パラメータ'!B28*('③ パラメータ'!C32),E6*(1+'③ パラメータ'!D28*('③ パラメータ'!C32))),0)</f>
        <v/>
      </c>
      <c r="L6" s="6">
        <f>ROUND(IF('③ パラメータ'!C34="固定",F6+'③ パラメータ'!C28*('③ パラメータ'!C32),F6*(1+'③ パラメータ'!E28*('③ パラメータ'!C32))),0)</f>
        <v/>
      </c>
      <c r="M6" s="6">
        <f>MIN(100,G6+(INT(('③ パラメータ'!C32-1)/'③ パラメータ'!C36)+1)*'③ パラメータ'!C35)</f>
        <v/>
      </c>
      <c r="N6" s="5" t="inlineStr">
        <is>
          <t>神喰らい</t>
        </is>
      </c>
      <c r="O6" s="7" t="inlineStr">
        <is>
          <t>敵1体をACTIVE使用不能（1ターン）にする。</t>
        </is>
      </c>
      <c r="P6" s="5" t="inlineStr">
        <is>
          <t>1バトル1回</t>
        </is>
      </c>
      <c r="Q6" s="5" t="inlineStr">
        <is>
          <t>先駆の魔狼</t>
        </is>
      </c>
      <c r="R6" s="7" t="inlineStr">
        <is>
          <t>各ラウンドで初めて、まだ行動していない敵を攻撃する時、その攻撃のみATK+50%。</t>
        </is>
      </c>
      <c r="S6" s="5" t="inlineStr">
        <is>
          <t>before_attack</t>
        </is>
      </c>
    </row>
    <row r="7">
      <c r="A7" s="5" t="inlineStr">
        <is>
          <t>スルト</t>
        </is>
      </c>
      <c r="B7" s="5" t="inlineStr">
        <is>
          <t>S</t>
        </is>
      </c>
      <c r="C7" s="5" t="n">
        <v>5</v>
      </c>
      <c r="D7" s="5" t="inlineStr">
        <is>
          <t>男性</t>
        </is>
      </c>
      <c r="E7" s="5" t="n">
        <v>42</v>
      </c>
      <c r="F7" s="5" t="n">
        <v>10</v>
      </c>
      <c r="G7" s="5" t="n">
        <v>18</v>
      </c>
      <c r="H7" s="6">
        <f>ROUND(IF('③ パラメータ'!C34="固定",E7+'③ パラメータ'!B28*(1),E7*(1+'③ パラメータ'!D28*(1))),0)</f>
        <v/>
      </c>
      <c r="I7" s="6">
        <f>ROUND(IF('③ パラメータ'!C34="固定",F7+'③ パラメータ'!C28*(1),F7*(1+'③ パラメータ'!E28*(1))),0)</f>
        <v/>
      </c>
      <c r="J7" s="6">
        <f>MIN(100,G7+(INT((1-1)/'③ パラメータ'!C36)+1)*'③ パラメータ'!C35)</f>
        <v/>
      </c>
      <c r="K7" s="6">
        <f>ROUND(IF('③ パラメータ'!C34="固定",E7+'③ パラメータ'!B28*('③ パラメータ'!C32),E7*(1+'③ パラメータ'!D28*('③ パラメータ'!C32))),0)</f>
        <v/>
      </c>
      <c r="L7" s="6">
        <f>ROUND(IF('③ パラメータ'!C34="固定",F7+'③ パラメータ'!C28*('③ パラメータ'!C32),F7*(1+'③ パラメータ'!E28*('③ パラメータ'!C32))),0)</f>
        <v/>
      </c>
      <c r="M7" s="6">
        <f>MIN(100,G7+(INT(('③ パラメータ'!C32-1)/'③ パラメータ'!C36)+1)*'③ パラメータ'!C35)</f>
        <v/>
      </c>
      <c r="N7" s="5" t="inlineStr">
        <is>
          <t>終末の進軍</t>
        </is>
      </c>
      <c r="O7" s="7" t="inlineStr">
        <is>
          <t>このACTIVEによる2回の攻撃時、自身のATK+30%。敵へ2回攻撃する。各攻撃の対象は個別に選択できる。このターンの攻撃を消費する。</t>
        </is>
      </c>
      <c r="P7" s="5" t="inlineStr">
        <is>
          <t>1バトル1回</t>
        </is>
      </c>
      <c r="Q7" s="5" t="inlineStr">
        <is>
          <t>終末の巨人</t>
        </is>
      </c>
      <c r="R7" s="7" t="inlineStr">
        <is>
          <t>受ける攻撃ダメージを自身の最大HP5%分だけ軽減する。さらに、スルト以外の味方が戦闘不能になるたび、自身のATK+20%。</t>
        </is>
      </c>
      <c r="S7" s="5" t="inlineStr">
        <is>
          <t>バトル開始時</t>
        </is>
      </c>
    </row>
    <row r="8">
      <c r="A8" s="5" t="inlineStr">
        <is>
          <t>ロキ</t>
        </is>
      </c>
      <c r="B8" s="5" t="inlineStr">
        <is>
          <t>S</t>
        </is>
      </c>
      <c r="C8" s="5" t="n">
        <v>5</v>
      </c>
      <c r="D8" s="5" t="inlineStr">
        <is>
          <t>男性</t>
        </is>
      </c>
      <c r="E8" s="5" t="n">
        <v>46</v>
      </c>
      <c r="F8" s="5" t="n">
        <v>8</v>
      </c>
      <c r="G8" s="5" t="n">
        <v>84</v>
      </c>
      <c r="H8" s="6">
        <f>ROUND(IF('③ パラメータ'!C34="固定",E8+'③ パラメータ'!B28*(1),E8*(1+'③ パラメータ'!D28*(1))),0)</f>
        <v/>
      </c>
      <c r="I8" s="6">
        <f>ROUND(IF('③ パラメータ'!C34="固定",F8+'③ パラメータ'!C28*(1),F8*(1+'③ パラメータ'!E28*(1))),0)</f>
        <v/>
      </c>
      <c r="J8" s="6">
        <f>MIN(100,G8+(INT((1-1)/'③ パラメータ'!C36)+1)*'③ パラメータ'!C35)</f>
        <v/>
      </c>
      <c r="K8" s="6">
        <f>ROUND(IF('③ パラメータ'!C34="固定",E8+'③ パラメータ'!B28*('③ パラメータ'!C32),E8*(1+'③ パラメータ'!D28*('③ パラメータ'!C32))),0)</f>
        <v/>
      </c>
      <c r="L8" s="6">
        <f>ROUND(IF('③ パラメータ'!C34="固定",F8+'③ パラメータ'!C28*('③ パラメータ'!C32),F8*(1+'③ パラメータ'!E28*('③ パラメータ'!C32))),0)</f>
        <v/>
      </c>
      <c r="M8" s="6">
        <f>MIN(100,G8+(INT(('③ パラメータ'!C32-1)/'③ パラメータ'!C36)+1)*'③ パラメータ'!C35)</f>
        <v/>
      </c>
      <c r="N8" s="5" t="inlineStr">
        <is>
          <t>虚実反転</t>
        </is>
      </c>
      <c r="O8" s="7" t="inlineStr">
        <is>
          <t>生存している敵1体と味方1体を選択し、両者の現在ATKをラウンド終了まで交換する。</t>
        </is>
      </c>
      <c r="P8" s="5" t="inlineStr">
        <is>
          <t>制限なし</t>
        </is>
      </c>
      <c r="Q8" s="5" t="inlineStr">
        <is>
          <t>欺瞞の神</t>
        </is>
      </c>
      <c r="R8" s="7" t="inlineStr">
        <is>
          <t>ロキが状態異常を受ける時、その状態異常を無効化し、効果を与えた敵へ同じ状態異常を返す。</t>
        </is>
      </c>
      <c r="S8" s="5" t="inlineStr">
        <is>
          <t>状態異常を受ける直前</t>
        </is>
      </c>
    </row>
    <row r="9">
      <c r="A9" s="5" t="inlineStr">
        <is>
          <t>ヨルムンガンド</t>
        </is>
      </c>
      <c r="B9" s="5" t="inlineStr">
        <is>
          <t>S</t>
        </is>
      </c>
      <c r="C9" s="5" t="n">
        <v>5</v>
      </c>
      <c r="D9" s="5" t="inlineStr">
        <is>
          <t>男性</t>
        </is>
      </c>
      <c r="E9" s="5" t="n">
        <v>52</v>
      </c>
      <c r="F9" s="5" t="n">
        <v>7</v>
      </c>
      <c r="G9" s="5" t="n">
        <v>55</v>
      </c>
      <c r="H9" s="6">
        <f>ROUND(IF('③ パラメータ'!C34="固定",E9+'③ パラメータ'!B28*(1),E9*(1+'③ パラメータ'!D28*(1))),0)</f>
        <v/>
      </c>
      <c r="I9" s="6">
        <f>ROUND(IF('③ パラメータ'!C34="固定",F9+'③ パラメータ'!C28*(1),F9*(1+'③ パラメータ'!E28*(1))),0)</f>
        <v/>
      </c>
      <c r="J9" s="6">
        <f>MIN(100,G9+(INT((1-1)/'③ パラメータ'!C36)+1)*'③ パラメータ'!C35)</f>
        <v/>
      </c>
      <c r="K9" s="6">
        <f>ROUND(IF('③ パラメータ'!C34="固定",E9+'③ パラメータ'!B28*('③ パラメータ'!C32),E9*(1+'③ パラメータ'!D28*('③ パラメータ'!C32))),0)</f>
        <v/>
      </c>
      <c r="L9" s="6">
        <f>ROUND(IF('③ パラメータ'!C34="固定",F9+'③ パラメータ'!C28*('③ パラメータ'!C32),F9*(1+'③ パラメータ'!E28*('③ パラメータ'!C32))),0)</f>
        <v/>
      </c>
      <c r="M9" s="6">
        <f>MIN(100,G9+(INT(('③ パラメータ'!C32-1)/'③ パラメータ'!C36)+1)*'③ パラメータ'!C35)</f>
        <v/>
      </c>
      <c r="N9" s="5" t="inlineStr">
        <is>
          <t>世界毒</t>
        </is>
      </c>
      <c r="O9" s="7" t="inlineStr">
        <is>
          <t>生存している敵全体へ、自身のATK60%のスキルダメージ + 毒（自身のATK30%×2ターン）。このターンの攻撃を消費する。</t>
        </is>
      </c>
      <c r="P9" s="5" t="inlineStr">
        <is>
          <t>1バトル1回</t>
        </is>
      </c>
      <c r="Q9" s="5" t="inlineStr">
        <is>
          <t>世界を囲む蛇</t>
        </is>
      </c>
      <c r="R9" s="7" t="inlineStr">
        <is>
          <t>バトル開始時、敵全体のATK-15%。</t>
        </is>
      </c>
      <c r="S9" s="5" t="inlineStr">
        <is>
          <t>バトル開始時</t>
        </is>
      </c>
    </row>
    <row r="10">
      <c r="A10" s="5" t="inlineStr">
        <is>
          <t>ヘル</t>
        </is>
      </c>
      <c r="B10" s="5" t="inlineStr">
        <is>
          <t>S</t>
        </is>
      </c>
      <c r="C10" s="5" t="n">
        <v>5</v>
      </c>
      <c r="D10" s="5" t="inlineStr">
        <is>
          <t>女性</t>
        </is>
      </c>
      <c r="E10" s="5" t="n">
        <v>58</v>
      </c>
      <c r="F10" s="5" t="n">
        <v>6</v>
      </c>
      <c r="G10" s="5" t="n">
        <v>5</v>
      </c>
      <c r="H10" s="6">
        <f>ROUND(IF('③ パラメータ'!C34="固定",E10+'③ パラメータ'!B28*(1),E10*(1+'③ パラメータ'!D28*(1))),0)</f>
        <v/>
      </c>
      <c r="I10" s="6">
        <f>ROUND(IF('③ パラメータ'!C34="固定",F10+'③ パラメータ'!C28*(1),F10*(1+'③ パラメータ'!E28*(1))),0)</f>
        <v/>
      </c>
      <c r="J10" s="6">
        <f>MIN(100,G10+(INT((1-1)/'③ パラメータ'!C36)+1)*'③ パラメータ'!C35)</f>
        <v/>
      </c>
      <c r="K10" s="6">
        <f>ROUND(IF('③ パラメータ'!C34="固定",E10+'③ パラメータ'!B28*('③ パラメータ'!C32),E10*(1+'③ パラメータ'!D28*('③ パラメータ'!C32))),0)</f>
        <v/>
      </c>
      <c r="L10" s="6">
        <f>ROUND(IF('③ パラメータ'!C34="固定",F10+'③ パラメータ'!C28*('③ パラメータ'!C32),F10*(1+'③ パラメータ'!E28*('③ パラメータ'!C32))),0)</f>
        <v/>
      </c>
      <c r="M10" s="6">
        <f>MIN(100,G10+(INT(('③ パラメータ'!C32-1)/'③ パラメータ'!C36)+1)*'③ パラメータ'!C35)</f>
        <v/>
      </c>
      <c r="N10" s="5" t="inlineStr">
        <is>
          <t>死の宣告</t>
        </is>
      </c>
      <c r="O10" s="7" t="inlineStr">
        <is>
          <t>敵1体を即座に戦闘不能にする。このターンの攻撃を消費する。</t>
        </is>
      </c>
      <c r="P10" s="5" t="inlineStr">
        <is>
          <t>1バトル1回</t>
        </is>
      </c>
      <c r="Q10" s="5" t="inlineStr">
        <is>
          <t>冥府の呼び声</t>
        </is>
      </c>
      <c r="R10" s="7" t="inlineStr">
        <is>
          <t>味方がバトル中初めて戦闘不能になった時、その使い魔を最大HP30%で蘇生する。</t>
        </is>
      </c>
      <c r="S10" s="5" t="inlineStr">
        <is>
          <t>誰かが倒れた時</t>
        </is>
      </c>
    </row>
    <row r="11">
      <c r="A11" s="5" t="inlineStr">
        <is>
          <t>アスモデウス</t>
        </is>
      </c>
      <c r="B11" s="5" t="inlineStr">
        <is>
          <t>A</t>
        </is>
      </c>
      <c r="C11" s="5" t="n">
        <v>4</v>
      </c>
      <c r="D11" s="5" t="inlineStr">
        <is>
          <t>男性</t>
        </is>
      </c>
      <c r="E11" s="5" t="n">
        <v>30</v>
      </c>
      <c r="F11" s="5" t="n">
        <v>10</v>
      </c>
      <c r="G11" s="5" t="n">
        <v>82</v>
      </c>
      <c r="H11" s="6">
        <f>ROUND(IF('③ パラメータ'!C34="固定",E11+'③ パラメータ'!B27*(1),E11*(1+'③ パラメータ'!D27*(1))),0)</f>
        <v/>
      </c>
      <c r="I11" s="6">
        <f>ROUND(IF('③ パラメータ'!C34="固定",F11+'③ パラメータ'!C27*(1),F11*(1+'③ パラメータ'!E27*(1))),0)</f>
        <v/>
      </c>
      <c r="J11" s="6">
        <f>MIN(100,G11+(INT((1-1)/'③ パラメータ'!C36)+1)*'③ パラメータ'!C35)</f>
        <v/>
      </c>
      <c r="K11" s="6">
        <f>ROUND(IF('③ パラメータ'!C34="固定",E11+'③ パラメータ'!B27*('③ パラメータ'!C32),E11*(1+'③ パラメータ'!D27*('③ パラメータ'!C32))),0)</f>
        <v/>
      </c>
      <c r="L11" s="6">
        <f>ROUND(IF('③ パラメータ'!C34="固定",F11+'③ パラメータ'!C27*('③ パラメータ'!C32),F11*(1+'③ パラメータ'!E27*('③ パラメータ'!C32))),0)</f>
        <v/>
      </c>
      <c r="M11" s="6">
        <f>MIN(100,G11+(INT(('③ パラメータ'!C32-1)/'③ パラメータ'!C36)+1)*'③ パラメータ'!C35)</f>
        <v/>
      </c>
      <c r="N11" s="5" t="inlineStr">
        <is>
          <t>—</t>
        </is>
      </c>
      <c r="O11" s="5" t="inlineStr">
        <is>
          <t>—</t>
        </is>
      </c>
      <c r="P11" s="5" t="inlineStr">
        <is>
          <t>—</t>
        </is>
      </c>
      <c r="Q11" s="5" t="inlineStr">
        <is>
          <t>色欲の権能</t>
        </is>
      </c>
      <c r="R11" s="7" t="inlineStr">
        <is>
          <t>バトル開始時、味方全員のATK+15%。</t>
        </is>
      </c>
      <c r="S11" s="5" t="inlineStr">
        <is>
          <t>バトル開始時</t>
        </is>
      </c>
    </row>
    <row r="12">
      <c r="A12" s="5" t="inlineStr">
        <is>
          <t>マモン</t>
        </is>
      </c>
      <c r="B12" s="5" t="inlineStr">
        <is>
          <t>A</t>
        </is>
      </c>
      <c r="C12" s="5" t="n">
        <v>4</v>
      </c>
      <c r="D12" s="5" t="inlineStr">
        <is>
          <t>男性</t>
        </is>
      </c>
      <c r="E12" s="5" t="n">
        <v>31</v>
      </c>
      <c r="F12" s="5" t="n">
        <v>10</v>
      </c>
      <c r="G12" s="5" t="n">
        <v>68</v>
      </c>
      <c r="H12" s="6">
        <f>ROUND(IF('③ パラメータ'!C34="固定",E12+'③ パラメータ'!B27*(1),E12*(1+'③ パラメータ'!D27*(1))),0)</f>
        <v/>
      </c>
      <c r="I12" s="6">
        <f>ROUND(IF('③ パラメータ'!C34="固定",F12+'③ パラメータ'!C27*(1),F12*(1+'③ パラメータ'!E27*(1))),0)</f>
        <v/>
      </c>
      <c r="J12" s="6">
        <f>MIN(100,G12+(INT((1-1)/'③ パラメータ'!C36)+1)*'③ パラメータ'!C35)</f>
        <v/>
      </c>
      <c r="K12" s="6">
        <f>ROUND(IF('③ パラメータ'!C34="固定",E12+'③ パラメータ'!B27*('③ パラメータ'!C32),E12*(1+'③ パラメータ'!D27*('③ パラメータ'!C32))),0)</f>
        <v/>
      </c>
      <c r="L12" s="6">
        <f>ROUND(IF('③ パラメータ'!C34="固定",F12+'③ パラメータ'!C27*('③ パラメータ'!C32),F12*(1+'③ パラメータ'!E27*('③ パラメータ'!C32))),0)</f>
        <v/>
      </c>
      <c r="M12" s="6">
        <f>MIN(100,G12+(INT(('③ パラメータ'!C32-1)/'③ パラメータ'!C36)+1)*'③ パラメータ'!C35)</f>
        <v/>
      </c>
      <c r="N12" s="5" t="inlineStr">
        <is>
          <t>強欲</t>
        </is>
      </c>
      <c r="O12" s="7" t="inlineStr">
        <is>
          <t>敵1体のATK-25%。さらに自身のATK+20%。両方ともラウンド終了まで継続する。</t>
        </is>
      </c>
      <c r="P12" s="5" t="inlineStr">
        <is>
          <t>制限なし</t>
        </is>
      </c>
      <c r="Q12" s="5" t="inlineStr">
        <is>
          <t>—</t>
        </is>
      </c>
      <c r="R12" s="5" t="inlineStr">
        <is>
          <t>—</t>
        </is>
      </c>
      <c r="S12" s="5" t="inlineStr">
        <is>
          <t>—</t>
        </is>
      </c>
    </row>
    <row r="13">
      <c r="A13" s="5" t="inlineStr">
        <is>
          <t>アバドン</t>
        </is>
      </c>
      <c r="B13" s="5" t="inlineStr">
        <is>
          <t>A</t>
        </is>
      </c>
      <c r="C13" s="5" t="n">
        <v>4</v>
      </c>
      <c r="D13" s="5" t="inlineStr">
        <is>
          <t>男性</t>
        </is>
      </c>
      <c r="E13" s="5" t="n">
        <v>32</v>
      </c>
      <c r="F13" s="5" t="n">
        <v>10</v>
      </c>
      <c r="G13" s="5" t="n">
        <v>52</v>
      </c>
      <c r="H13" s="6">
        <f>ROUND(IF('③ パラメータ'!C34="固定",E13+'③ パラメータ'!B27*(1),E13*(1+'③ パラメータ'!D27*(1))),0)</f>
        <v/>
      </c>
      <c r="I13" s="6">
        <f>ROUND(IF('③ パラメータ'!C34="固定",F13+'③ パラメータ'!C27*(1),F13*(1+'③ パラメータ'!E27*(1))),0)</f>
        <v/>
      </c>
      <c r="J13" s="6">
        <f>MIN(100,G13+(INT((1-1)/'③ パラメータ'!C36)+1)*'③ パラメータ'!C35)</f>
        <v/>
      </c>
      <c r="K13" s="6">
        <f>ROUND(IF('③ パラメータ'!C34="固定",E13+'③ パラメータ'!B27*('③ パラメータ'!C32),E13*(1+'③ パラメータ'!D27*('③ パラメータ'!C32))),0)</f>
        <v/>
      </c>
      <c r="L13" s="6">
        <f>ROUND(IF('③ パラメータ'!C34="固定",F13+'③ パラメータ'!C27*('③ パラメータ'!C32),F13*(1+'③ パラメータ'!E27*('③ パラメータ'!C32))),0)</f>
        <v/>
      </c>
      <c r="M13" s="6">
        <f>MIN(100,G13+(INT(('③ パラメータ'!C32-1)/'③ パラメータ'!C36)+1)*'③ パラメータ'!C35)</f>
        <v/>
      </c>
      <c r="N13" s="5" t="inlineStr">
        <is>
          <t>奈落崩壊</t>
        </is>
      </c>
      <c r="O13" s="7" t="inlineStr">
        <is>
          <t>生存している敵全体へ、自身のATK45%のスキルダメージ。このターンの攻撃を消費する。</t>
        </is>
      </c>
      <c r="P13" s="5" t="inlineStr">
        <is>
          <t>制限なし</t>
        </is>
      </c>
      <c r="Q13" s="5" t="inlineStr">
        <is>
          <t>—</t>
        </is>
      </c>
      <c r="R13" s="5" t="inlineStr">
        <is>
          <t>—</t>
        </is>
      </c>
      <c r="S13" s="5" t="inlineStr">
        <is>
          <t>—</t>
        </is>
      </c>
    </row>
    <row r="14">
      <c r="A14" s="5" t="inlineStr">
        <is>
          <t>サタン</t>
        </is>
      </c>
      <c r="B14" s="5" t="inlineStr">
        <is>
          <t>A</t>
        </is>
      </c>
      <c r="C14" s="5" t="n">
        <v>4</v>
      </c>
      <c r="D14" s="5" t="inlineStr">
        <is>
          <t>男性</t>
        </is>
      </c>
      <c r="E14" s="5" t="n">
        <v>36</v>
      </c>
      <c r="F14" s="5" t="n">
        <v>9</v>
      </c>
      <c r="G14" s="5" t="n">
        <v>46</v>
      </c>
      <c r="H14" s="6">
        <f>ROUND(IF('③ パラメータ'!C34="固定",E14+'③ パラメータ'!B27*(1),E14*(1+'③ パラメータ'!D27*(1))),0)</f>
        <v/>
      </c>
      <c r="I14" s="6">
        <f>ROUND(IF('③ パラメータ'!C34="固定",F14+'③ パラメータ'!C27*(1),F14*(1+'③ パラメータ'!E27*(1))),0)</f>
        <v/>
      </c>
      <c r="J14" s="6">
        <f>MIN(100,G14+(INT((1-1)/'③ パラメータ'!C36)+1)*'③ パラメータ'!C35)</f>
        <v/>
      </c>
      <c r="K14" s="6">
        <f>ROUND(IF('③ パラメータ'!C34="固定",E14+'③ パラメータ'!B27*('③ パラメータ'!C32),E14*(1+'③ パラメータ'!D27*('③ パラメータ'!C32))),0)</f>
        <v/>
      </c>
      <c r="L14" s="6">
        <f>ROUND(IF('③ パラメータ'!C34="固定",F14+'③ パラメータ'!C27*('③ パラメータ'!C32),F14*(1+'③ パラメータ'!E27*('③ パラメータ'!C32))),0)</f>
        <v/>
      </c>
      <c r="M14" s="6">
        <f>MIN(100,G14+(INT(('③ パラメータ'!C32-1)/'③ パラメータ'!C36)+1)*'③ パラメータ'!C35)</f>
        <v/>
      </c>
      <c r="N14" s="5" t="inlineStr">
        <is>
          <t>憤怒の解放</t>
        </is>
      </c>
      <c r="O14" s="7" t="inlineStr">
        <is>
          <t>味方全員に付与されているデバフをすべて解除する。状態異常は解除しない。</t>
        </is>
      </c>
      <c r="P14" s="5" t="inlineStr">
        <is>
          <t>1バトル1回</t>
        </is>
      </c>
      <c r="Q14" s="5" t="inlineStr">
        <is>
          <t>—</t>
        </is>
      </c>
      <c r="R14" s="5" t="inlineStr">
        <is>
          <t>—</t>
        </is>
      </c>
      <c r="S14" s="5" t="inlineStr">
        <is>
          <t>—</t>
        </is>
      </c>
    </row>
    <row r="15">
      <c r="A15" s="5" t="inlineStr">
        <is>
          <t>ニーズヘッグ</t>
        </is>
      </c>
      <c r="B15" s="5" t="inlineStr">
        <is>
          <t>A</t>
        </is>
      </c>
      <c r="C15" s="5" t="n">
        <v>4</v>
      </c>
      <c r="D15" s="5" t="inlineStr">
        <is>
          <t>男性</t>
        </is>
      </c>
      <c r="E15" s="5" t="n">
        <v>36</v>
      </c>
      <c r="F15" s="5" t="n">
        <v>9</v>
      </c>
      <c r="G15" s="5" t="n">
        <v>50</v>
      </c>
      <c r="H15" s="6">
        <f>ROUND(IF('③ パラメータ'!C34="固定",E15+'③ パラメータ'!B27*(1),E15*(1+'③ パラメータ'!D27*(1))),0)</f>
        <v/>
      </c>
      <c r="I15" s="6">
        <f>ROUND(IF('③ パラメータ'!C34="固定",F15+'③ パラメータ'!C27*(1),F15*(1+'③ パラメータ'!E27*(1))),0)</f>
        <v/>
      </c>
      <c r="J15" s="6">
        <f>MIN(100,G15+(INT((1-1)/'③ パラメータ'!C36)+1)*'③ パラメータ'!C35)</f>
        <v/>
      </c>
      <c r="K15" s="6">
        <f>ROUND(IF('③ パラメータ'!C34="固定",E15+'③ パラメータ'!B27*('③ パラメータ'!C32),E15*(1+'③ パラメータ'!D27*('③ パラメータ'!C32))),0)</f>
        <v/>
      </c>
      <c r="L15" s="6">
        <f>ROUND(IF('③ パラメータ'!C34="固定",F15+'③ パラメータ'!C27*('③ パラメータ'!C32),F15*(1+'③ パラメータ'!E27*('③ パラメータ'!C32))),0)</f>
        <v/>
      </c>
      <c r="M15" s="6">
        <f>MIN(100,G15+(INT(('③ パラメータ'!C32-1)/'③ パラメータ'!C36)+1)*'③ パラメータ'!C35)</f>
        <v/>
      </c>
      <c r="N15" s="5" t="inlineStr">
        <is>
          <t>—</t>
        </is>
      </c>
      <c r="O15" s="5" t="inlineStr">
        <is>
          <t>—</t>
        </is>
      </c>
      <c r="P15" s="5" t="inlineStr">
        <is>
          <t>—</t>
        </is>
      </c>
      <c r="Q15" s="5" t="inlineStr">
        <is>
          <t>根喰らい</t>
        </is>
      </c>
      <c r="R15" s="7" t="inlineStr">
        <is>
          <t>攻撃ダメージを与えた敵に回復阻害デバフ（2ターン）を付与する。対象はHPを回復できず、蘇生もできない。</t>
        </is>
      </c>
      <c r="S15" s="5" t="inlineStr">
        <is>
          <t>after_attack</t>
        </is>
      </c>
    </row>
    <row r="16">
      <c r="A16" s="5" t="inlineStr">
        <is>
          <t>ベリアル</t>
        </is>
      </c>
      <c r="B16" s="5" t="inlineStr">
        <is>
          <t>A</t>
        </is>
      </c>
      <c r="C16" s="5" t="n">
        <v>4</v>
      </c>
      <c r="D16" s="5" t="inlineStr">
        <is>
          <t>男性</t>
        </is>
      </c>
      <c r="E16" s="5" t="n">
        <v>34</v>
      </c>
      <c r="F16" s="5" t="n">
        <v>9</v>
      </c>
      <c r="G16" s="5" t="n">
        <v>92</v>
      </c>
      <c r="H16" s="6">
        <f>ROUND(IF('③ パラメータ'!C34="固定",E16+'③ パラメータ'!B27*(1),E16*(1+'③ パラメータ'!D27*(1))),0)</f>
        <v/>
      </c>
      <c r="I16" s="6">
        <f>ROUND(IF('③ パラメータ'!C34="固定",F16+'③ パラメータ'!C27*(1),F16*(1+'③ パラメータ'!E27*(1))),0)</f>
        <v/>
      </c>
      <c r="J16" s="6">
        <f>MIN(100,G16+(INT((1-1)/'③ パラメータ'!C36)+1)*'③ パラメータ'!C35)</f>
        <v/>
      </c>
      <c r="K16" s="6">
        <f>ROUND(IF('③ パラメータ'!C34="固定",E16+'③ パラメータ'!B27*('③ パラメータ'!C32),E16*(1+'③ パラメータ'!D27*('③ パラメータ'!C32))),0)</f>
        <v/>
      </c>
      <c r="L16" s="6">
        <f>ROUND(IF('③ パラメータ'!C34="固定",F16+'③ パラメータ'!C27*('③ パラメータ'!C32),F16*(1+'③ パラメータ'!E27*('③ パラメータ'!C32))),0)</f>
        <v/>
      </c>
      <c r="M16" s="6">
        <f>MIN(100,G16+(INT(('③ パラメータ'!C32-1)/'③ パラメータ'!C36)+1)*'③ パラメータ'!C35)</f>
        <v/>
      </c>
      <c r="N16" s="5" t="inlineStr">
        <is>
          <t>—</t>
        </is>
      </c>
      <c r="O16" s="5" t="inlineStr">
        <is>
          <t>—</t>
        </is>
      </c>
      <c r="P16" s="5" t="inlineStr">
        <is>
          <t>—</t>
        </is>
      </c>
      <c r="Q16" s="5" t="inlineStr">
        <is>
          <t>魔王の先見</t>
        </is>
      </c>
      <c r="R16" s="7" t="inlineStr">
        <is>
          <t>味方がバトル中初めて行動不能になる時、その行動不能を無効化する。</t>
        </is>
      </c>
      <c r="S16" s="5" t="inlineStr">
        <is>
          <t>状態異常を受ける直前</t>
        </is>
      </c>
    </row>
    <row r="17">
      <c r="A17" s="5" t="inlineStr">
        <is>
          <t>キュウビ</t>
        </is>
      </c>
      <c r="B17" s="5" t="inlineStr">
        <is>
          <t>A</t>
        </is>
      </c>
      <c r="C17" s="5" t="n">
        <v>4</v>
      </c>
      <c r="D17" s="5" t="inlineStr">
        <is>
          <t>女性</t>
        </is>
      </c>
      <c r="E17" s="5" t="n">
        <v>34</v>
      </c>
      <c r="F17" s="5" t="n">
        <v>9</v>
      </c>
      <c r="G17" s="5" t="n">
        <v>97</v>
      </c>
      <c r="H17" s="6">
        <f>ROUND(IF('③ パラメータ'!C34="固定",E17+'③ パラメータ'!B27*(1),E17*(1+'③ パラメータ'!D27*(1))),0)</f>
        <v/>
      </c>
      <c r="I17" s="6">
        <f>ROUND(IF('③ パラメータ'!C34="固定",F17+'③ パラメータ'!C27*(1),F17*(1+'③ パラメータ'!E27*(1))),0)</f>
        <v/>
      </c>
      <c r="J17" s="6">
        <f>MIN(100,G17+(INT((1-1)/'③ パラメータ'!C36)+1)*'③ パラメータ'!C35)</f>
        <v/>
      </c>
      <c r="K17" s="6">
        <f>ROUND(IF('③ パラメータ'!C34="固定",E17+'③ パラメータ'!B27*('③ パラメータ'!C32),E17*(1+'③ パラメータ'!D27*('③ パラメータ'!C32))),0)</f>
        <v/>
      </c>
      <c r="L17" s="6">
        <f>ROUND(IF('③ パラメータ'!C34="固定",F17+'③ パラメータ'!C27*('③ パラメータ'!C32),F17*(1+'③ パラメータ'!E27*('③ パラメータ'!C32))),0)</f>
        <v/>
      </c>
      <c r="M17" s="6">
        <f>MIN(100,G17+(INT(('③ パラメータ'!C32-1)/'③ パラメータ'!C36)+1)*'③ パラメータ'!C35)</f>
        <v/>
      </c>
      <c r="N17" s="5" t="inlineStr">
        <is>
          <t>妖狐幻術</t>
        </is>
      </c>
      <c r="O17" s="7" t="inlineStr">
        <is>
          <t>敵1体のSPD-20%（2ターン）。</t>
        </is>
      </c>
      <c r="P17" s="5" t="inlineStr">
        <is>
          <t>制限なし</t>
        </is>
      </c>
      <c r="Q17" s="5" t="inlineStr">
        <is>
          <t>—</t>
        </is>
      </c>
      <c r="R17" s="5" t="inlineStr">
        <is>
          <t>—</t>
        </is>
      </c>
      <c r="S17" s="5" t="inlineStr">
        <is>
          <t>—</t>
        </is>
      </c>
    </row>
    <row r="18">
      <c r="A18" s="5" t="inlineStr">
        <is>
          <t>リリス</t>
        </is>
      </c>
      <c r="B18" s="5" t="inlineStr">
        <is>
          <t>A</t>
        </is>
      </c>
      <c r="C18" s="5" t="n">
        <v>4</v>
      </c>
      <c r="D18" s="5" t="inlineStr">
        <is>
          <t>女性</t>
        </is>
      </c>
      <c r="E18" s="5" t="n">
        <v>35</v>
      </c>
      <c r="F18" s="5" t="n">
        <v>9</v>
      </c>
      <c r="G18" s="5" t="n">
        <v>74</v>
      </c>
      <c r="H18" s="6">
        <f>ROUND(IF('③ パラメータ'!C34="固定",E18+'③ パラメータ'!B27*(1),E18*(1+'③ パラメータ'!D27*(1))),0)</f>
        <v/>
      </c>
      <c r="I18" s="6">
        <f>ROUND(IF('③ パラメータ'!C34="固定",F18+'③ パラメータ'!C27*(1),F18*(1+'③ パラメータ'!E27*(1))),0)</f>
        <v/>
      </c>
      <c r="J18" s="6">
        <f>MIN(100,G18+(INT((1-1)/'③ パラメータ'!C36)+1)*'③ パラメータ'!C35)</f>
        <v/>
      </c>
      <c r="K18" s="6">
        <f>ROUND(IF('③ パラメータ'!C34="固定",E18+'③ パラメータ'!B27*('③ パラメータ'!C32),E18*(1+'③ パラメータ'!D27*('③ パラメータ'!C32))),0)</f>
        <v/>
      </c>
      <c r="L18" s="6">
        <f>ROUND(IF('③ パラメータ'!C34="固定",F18+'③ パラメータ'!C27*('③ パラメータ'!C32),F18*(1+'③ パラメータ'!E27*('③ パラメータ'!C32))),0)</f>
        <v/>
      </c>
      <c r="M18" s="6">
        <f>MIN(100,G18+(INT(('③ パラメータ'!C32-1)/'③ パラメータ'!C36)+1)*'③ パラメータ'!C35)</f>
        <v/>
      </c>
      <c r="N18" s="5" t="inlineStr">
        <is>
          <t>—</t>
        </is>
      </c>
      <c r="O18" s="5" t="inlineStr">
        <is>
          <t>—</t>
        </is>
      </c>
      <c r="P18" s="5" t="inlineStr">
        <is>
          <t>—</t>
        </is>
      </c>
      <c r="Q18" s="5" t="inlineStr">
        <is>
          <t>夜の誘惑</t>
        </is>
      </c>
      <c r="R18" s="7" t="inlineStr">
        <is>
          <t>バトル開始時、男性の敵全体のATK-25%。</t>
        </is>
      </c>
      <c r="S18" s="5" t="inlineStr">
        <is>
          <t>バトル開始時</t>
        </is>
      </c>
    </row>
    <row r="19">
      <c r="A19" s="5" t="inlineStr">
        <is>
          <t>フェニックス</t>
        </is>
      </c>
      <c r="B19" s="5" t="inlineStr">
        <is>
          <t>A</t>
        </is>
      </c>
      <c r="C19" s="5" t="n">
        <v>4</v>
      </c>
      <c r="D19" s="5" t="inlineStr">
        <is>
          <t>なし</t>
        </is>
      </c>
      <c r="E19" s="5" t="n">
        <v>35</v>
      </c>
      <c r="F19" s="5" t="n">
        <v>9</v>
      </c>
      <c r="G19" s="5" t="n">
        <v>64</v>
      </c>
      <c r="H19" s="6">
        <f>ROUND(IF('③ パラメータ'!C34="固定",E19+'③ パラメータ'!B27*(1),E19*(1+'③ パラメータ'!D27*(1))),0)</f>
        <v/>
      </c>
      <c r="I19" s="6">
        <f>ROUND(IF('③ パラメータ'!C34="固定",F19+'③ パラメータ'!C27*(1),F19*(1+'③ パラメータ'!E27*(1))),0)</f>
        <v/>
      </c>
      <c r="J19" s="6">
        <f>MIN(100,G19+(INT((1-1)/'③ パラメータ'!C36)+1)*'③ パラメータ'!C35)</f>
        <v/>
      </c>
      <c r="K19" s="6">
        <f>ROUND(IF('③ パラメータ'!C34="固定",E19+'③ パラメータ'!B27*('③ パラメータ'!C32),E19*(1+'③ パラメータ'!D27*('③ パラメータ'!C32))),0)</f>
        <v/>
      </c>
      <c r="L19" s="6">
        <f>ROUND(IF('③ パラメータ'!C34="固定",F19+'③ パラメータ'!C27*('③ パラメータ'!C32),F19*(1+'③ パラメータ'!E27*('③ パラメータ'!C32))),0)</f>
        <v/>
      </c>
      <c r="M19" s="6">
        <f>MIN(100,G19+(INT(('③ パラメータ'!C32-1)/'③ パラメータ'!C36)+1)*'③ パラメータ'!C35)</f>
        <v/>
      </c>
      <c r="N19" s="5" t="inlineStr">
        <is>
          <t>再誕の炎</t>
        </is>
      </c>
      <c r="O19" s="7" t="inlineStr">
        <is>
          <t>戦闘不能の味方1体を最大HP50%で蘇生する。このターンの攻撃を消費する。</t>
        </is>
      </c>
      <c r="P19" s="5" t="inlineStr">
        <is>
          <t>1バトル1回</t>
        </is>
      </c>
      <c r="Q19" s="5" t="inlineStr">
        <is>
          <t>—</t>
        </is>
      </c>
      <c r="R19" s="5" t="inlineStr">
        <is>
          <t>—</t>
        </is>
      </c>
      <c r="S19" s="5" t="inlineStr">
        <is>
          <t>—</t>
        </is>
      </c>
    </row>
    <row r="20">
      <c r="A20" s="5" t="inlineStr">
        <is>
          <t>ルシファー</t>
        </is>
      </c>
      <c r="B20" s="5" t="inlineStr">
        <is>
          <t>A</t>
        </is>
      </c>
      <c r="C20" s="5" t="n">
        <v>4</v>
      </c>
      <c r="D20" s="5" t="inlineStr">
        <is>
          <t>男性</t>
        </is>
      </c>
      <c r="E20" s="5" t="n">
        <v>38</v>
      </c>
      <c r="F20" s="5" t="n">
        <v>8</v>
      </c>
      <c r="G20" s="5" t="n">
        <v>90</v>
      </c>
      <c r="H20" s="6">
        <f>ROUND(IF('③ パラメータ'!C34="固定",E20+'③ パラメータ'!B27*(1),E20*(1+'③ パラメータ'!D27*(1))),0)</f>
        <v/>
      </c>
      <c r="I20" s="6">
        <f>ROUND(IF('③ パラメータ'!C34="固定",F20+'③ パラメータ'!C27*(1),F20*(1+'③ パラメータ'!E27*(1))),0)</f>
        <v/>
      </c>
      <c r="J20" s="6">
        <f>MIN(100,G20+(INT((1-1)/'③ パラメータ'!C36)+1)*'③ パラメータ'!C35)</f>
        <v/>
      </c>
      <c r="K20" s="6">
        <f>ROUND(IF('③ パラメータ'!C34="固定",E20+'③ パラメータ'!B27*('③ パラメータ'!C32),E20*(1+'③ パラメータ'!D27*('③ パラメータ'!C32))),0)</f>
        <v/>
      </c>
      <c r="L20" s="6">
        <f>ROUND(IF('③ パラメータ'!C34="固定",F20+'③ パラメータ'!C27*('③ パラメータ'!C32),F20*(1+'③ パラメータ'!E27*('③ パラメータ'!C32))),0)</f>
        <v/>
      </c>
      <c r="M20" s="6">
        <f>MIN(100,G20+(INT(('③ パラメータ'!C32-1)/'③ パラメータ'!C36)+1)*'③ パラメータ'!C35)</f>
        <v/>
      </c>
      <c r="N20" s="5" t="inlineStr">
        <is>
          <t>明星の加護</t>
        </is>
      </c>
      <c r="O20" s="7" t="inlineStr">
        <is>
          <t>味方1体は状態異常を受けない（2ターン）。すでに受けている状態異常は解除しない。</t>
        </is>
      </c>
      <c r="P20" s="5" t="inlineStr">
        <is>
          <t>1バトル1回</t>
        </is>
      </c>
      <c r="Q20" s="5" t="inlineStr">
        <is>
          <t>—</t>
        </is>
      </c>
      <c r="R20" s="5" t="inlineStr">
        <is>
          <t>—</t>
        </is>
      </c>
      <c r="S20" s="5" t="inlineStr">
        <is>
          <t>—</t>
        </is>
      </c>
    </row>
    <row r="21">
      <c r="A21" s="5" t="inlineStr">
        <is>
          <t>ベルゼブブ</t>
        </is>
      </c>
      <c r="B21" s="5" t="inlineStr">
        <is>
          <t>A</t>
        </is>
      </c>
      <c r="C21" s="5" t="n">
        <v>4</v>
      </c>
      <c r="D21" s="5" t="inlineStr">
        <is>
          <t>男性</t>
        </is>
      </c>
      <c r="E21" s="5" t="n">
        <v>40</v>
      </c>
      <c r="F21" s="5" t="n">
        <v>8</v>
      </c>
      <c r="G21" s="5" t="n">
        <v>58</v>
      </c>
      <c r="H21" s="6">
        <f>ROUND(IF('③ パラメータ'!C34="固定",E21+'③ パラメータ'!B27*(1),E21*(1+'③ パラメータ'!D27*(1))),0)</f>
        <v/>
      </c>
      <c r="I21" s="6">
        <f>ROUND(IF('③ パラメータ'!C34="固定",F21+'③ パラメータ'!C27*(1),F21*(1+'③ パラメータ'!E27*(1))),0)</f>
        <v/>
      </c>
      <c r="J21" s="6">
        <f>MIN(100,G21+(INT((1-1)/'③ パラメータ'!C36)+1)*'③ パラメータ'!C35)</f>
        <v/>
      </c>
      <c r="K21" s="6">
        <f>ROUND(IF('③ パラメータ'!C34="固定",E21+'③ パラメータ'!B27*('③ パラメータ'!C32),E21*(1+'③ パラメータ'!D27*('③ パラメータ'!C32))),0)</f>
        <v/>
      </c>
      <c r="L21" s="6">
        <f>ROUND(IF('③ パラメータ'!C34="固定",F21+'③ パラメータ'!C27*('③ パラメータ'!C32),F21*(1+'③ パラメータ'!E27*('③ パラメータ'!C32))),0)</f>
        <v/>
      </c>
      <c r="M21" s="6">
        <f>MIN(100,G21+(INT(('③ パラメータ'!C32-1)/'③ パラメータ'!C36)+1)*'③ パラメータ'!C35)</f>
        <v/>
      </c>
      <c r="N21" s="5" t="inlineStr">
        <is>
          <t>—</t>
        </is>
      </c>
      <c r="O21" s="5" t="inlineStr">
        <is>
          <t>—</t>
        </is>
      </c>
      <c r="P21" s="5" t="inlineStr">
        <is>
          <t>—</t>
        </is>
      </c>
      <c r="Q21" s="5" t="inlineStr">
        <is>
          <t>蠅王の瘴気</t>
        </is>
      </c>
      <c r="R21" s="7" t="inlineStr">
        <is>
          <t>バトル開始時、敵全体に毒（自身のATK40%×2ターン）を付与する。</t>
        </is>
      </c>
      <c r="S21" s="5" t="inlineStr">
        <is>
          <t>バトル開始時</t>
        </is>
      </c>
    </row>
    <row r="22">
      <c r="A22" s="5" t="inlineStr">
        <is>
          <t>ベルフェゴール</t>
        </is>
      </c>
      <c r="B22" s="5" t="inlineStr">
        <is>
          <t>A</t>
        </is>
      </c>
      <c r="C22" s="5" t="n">
        <v>4</v>
      </c>
      <c r="D22" s="5" t="inlineStr">
        <is>
          <t>男性</t>
        </is>
      </c>
      <c r="E22" s="5" t="n">
        <v>41</v>
      </c>
      <c r="F22" s="5" t="n">
        <v>8</v>
      </c>
      <c r="G22" s="5" t="n">
        <v>24</v>
      </c>
      <c r="H22" s="6">
        <f>ROUND(IF('③ パラメータ'!C34="固定",E22+'③ パラメータ'!B27*(1),E22*(1+'③ パラメータ'!D27*(1))),0)</f>
        <v/>
      </c>
      <c r="I22" s="6">
        <f>ROUND(IF('③ パラメータ'!C34="固定",F22+'③ パラメータ'!C27*(1),F22*(1+'③ パラメータ'!E27*(1))),0)</f>
        <v/>
      </c>
      <c r="J22" s="6">
        <f>MIN(100,G22+(INT((1-1)/'③ パラメータ'!C36)+1)*'③ パラメータ'!C35)</f>
        <v/>
      </c>
      <c r="K22" s="6">
        <f>ROUND(IF('③ パラメータ'!C34="固定",E22+'③ パラメータ'!B27*('③ パラメータ'!C32),E22*(1+'③ パラメータ'!D27*('③ パラメータ'!C32))),0)</f>
        <v/>
      </c>
      <c r="L22" s="6">
        <f>ROUND(IF('③ パラメータ'!C34="固定",F22+'③ パラメータ'!C27*('③ パラメータ'!C32),F22*(1+'③ パラメータ'!E27*('③ パラメータ'!C32))),0)</f>
        <v/>
      </c>
      <c r="M22" s="6">
        <f>MIN(100,G22+(INT(('③ パラメータ'!C32-1)/'③ パラメータ'!C36)+1)*'③ パラメータ'!C35)</f>
        <v/>
      </c>
      <c r="N22" s="5" t="inlineStr">
        <is>
          <t>—</t>
        </is>
      </c>
      <c r="O22" s="5" t="inlineStr">
        <is>
          <t>—</t>
        </is>
      </c>
      <c r="P22" s="5" t="inlineStr">
        <is>
          <t>—</t>
        </is>
      </c>
      <c r="Q22" s="5" t="inlineStr">
        <is>
          <t>怠惰の権能</t>
        </is>
      </c>
      <c r="R22" s="7" t="inlineStr">
        <is>
          <t>男性の敵へ攻撃ダメージを与えた時、対象を行動不能（1ターン）にする。</t>
        </is>
      </c>
      <c r="S22" s="5" t="inlineStr">
        <is>
          <t>after_attack</t>
        </is>
      </c>
    </row>
    <row r="23">
      <c r="A23" s="5" t="inlineStr">
        <is>
          <t>アスタロト</t>
        </is>
      </c>
      <c r="B23" s="5" t="inlineStr">
        <is>
          <t>A</t>
        </is>
      </c>
      <c r="C23" s="5" t="n">
        <v>4</v>
      </c>
      <c r="D23" s="5" t="inlineStr">
        <is>
          <t>男性</t>
        </is>
      </c>
      <c r="E23" s="5" t="n">
        <v>40</v>
      </c>
      <c r="F23" s="5" t="n">
        <v>8</v>
      </c>
      <c r="G23" s="5" t="n">
        <v>56</v>
      </c>
      <c r="H23" s="6">
        <f>ROUND(IF('③ パラメータ'!C34="固定",E23+'③ パラメータ'!B27*(1),E23*(1+'③ パラメータ'!D27*(1))),0)</f>
        <v/>
      </c>
      <c r="I23" s="6">
        <f>ROUND(IF('③ パラメータ'!C34="固定",F23+'③ パラメータ'!C27*(1),F23*(1+'③ パラメータ'!E27*(1))),0)</f>
        <v/>
      </c>
      <c r="J23" s="6">
        <f>MIN(100,G23+(INT((1-1)/'③ パラメータ'!C36)+1)*'③ パラメータ'!C35)</f>
        <v/>
      </c>
      <c r="K23" s="6">
        <f>ROUND(IF('③ パラメータ'!C34="固定",E23+'③ パラメータ'!B27*('③ パラメータ'!C32),E23*(1+'③ パラメータ'!D27*('③ パラメータ'!C32))),0)</f>
        <v/>
      </c>
      <c r="L23" s="6">
        <f>ROUND(IF('③ パラメータ'!C34="固定",F23+'③ パラメータ'!C27*('③ パラメータ'!C32),F23*(1+'③ パラメータ'!E27*('③ パラメータ'!C32))),0)</f>
        <v/>
      </c>
      <c r="M23" s="6">
        <f>MIN(100,G23+(INT(('③ パラメータ'!C32-1)/'③ パラメータ'!C36)+1)*'③ パラメータ'!C35)</f>
        <v/>
      </c>
      <c r="N23" s="5" t="inlineStr">
        <is>
          <t>魔王の叡智</t>
        </is>
      </c>
      <c r="O23" s="7" t="inlineStr">
        <is>
          <t>味方全員に付与されている状態異常をすべて解除する。デバフは解除しない。</t>
        </is>
      </c>
      <c r="P23" s="5" t="inlineStr">
        <is>
          <t>1バトル1回</t>
        </is>
      </c>
      <c r="Q23" s="5" t="inlineStr">
        <is>
          <t>—</t>
        </is>
      </c>
      <c r="R23" s="5" t="inlineStr">
        <is>
          <t>—</t>
        </is>
      </c>
      <c r="S23" s="5" t="inlineStr">
        <is>
          <t>—</t>
        </is>
      </c>
    </row>
    <row r="24">
      <c r="A24" s="5" t="inlineStr">
        <is>
          <t>ファフニール</t>
        </is>
      </c>
      <c r="B24" s="5" t="inlineStr">
        <is>
          <t>A</t>
        </is>
      </c>
      <c r="C24" s="5" t="n">
        <v>4</v>
      </c>
      <c r="D24" s="5" t="inlineStr">
        <is>
          <t>男性</t>
        </is>
      </c>
      <c r="E24" s="5" t="n">
        <v>45</v>
      </c>
      <c r="F24" s="5" t="n">
        <v>7</v>
      </c>
      <c r="G24" s="5" t="n">
        <v>30</v>
      </c>
      <c r="H24" s="6">
        <f>ROUND(IF('③ パラメータ'!C34="固定",E24+'③ パラメータ'!B27*(1),E24*(1+'③ パラメータ'!D27*(1))),0)</f>
        <v/>
      </c>
      <c r="I24" s="6">
        <f>ROUND(IF('③ パラメータ'!C34="固定",F24+'③ パラメータ'!C27*(1),F24*(1+'③ パラメータ'!E27*(1))),0)</f>
        <v/>
      </c>
      <c r="J24" s="6">
        <f>MIN(100,G24+(INT((1-1)/'③ パラメータ'!C36)+1)*'③ パラメータ'!C35)</f>
        <v/>
      </c>
      <c r="K24" s="6">
        <f>ROUND(IF('③ パラメータ'!C34="固定",E24+'③ パラメータ'!B27*('③ パラメータ'!C32),E24*(1+'③ パラメータ'!D27*('③ パラメータ'!C32))),0)</f>
        <v/>
      </c>
      <c r="L24" s="6">
        <f>ROUND(IF('③ パラメータ'!C34="固定",F24+'③ パラメータ'!C27*('③ パラメータ'!C32),F24*(1+'③ パラメータ'!E27*('③ パラメータ'!C32))),0)</f>
        <v/>
      </c>
      <c r="M24" s="6">
        <f>MIN(100,G24+(INT(('③ パラメータ'!C32-1)/'③ パラメータ'!C36)+1)*'③ パラメータ'!C35)</f>
        <v/>
      </c>
      <c r="N24" s="5" t="inlineStr">
        <is>
          <t>黄金の加護</t>
        </is>
      </c>
      <c r="O24" s="7" t="inlineStr">
        <is>
          <t>味方1体のHPを、その使い魔の最大HP65%分回復する。</t>
        </is>
      </c>
      <c r="P24" s="5" t="inlineStr">
        <is>
          <t>1バトル1回</t>
        </is>
      </c>
      <c r="Q24" s="5" t="inlineStr">
        <is>
          <t>—</t>
        </is>
      </c>
      <c r="R24" s="5" t="inlineStr">
        <is>
          <t>—</t>
        </is>
      </c>
      <c r="S24" s="5" t="inlineStr">
        <is>
          <t>—</t>
        </is>
      </c>
    </row>
    <row r="25">
      <c r="A25" s="5" t="inlineStr">
        <is>
          <t>レヴィアタン</t>
        </is>
      </c>
      <c r="B25" s="5" t="inlineStr">
        <is>
          <t>A</t>
        </is>
      </c>
      <c r="C25" s="5" t="n">
        <v>4</v>
      </c>
      <c r="D25" s="5" t="inlineStr">
        <is>
          <t>なし</t>
        </is>
      </c>
      <c r="E25" s="5" t="n">
        <v>49</v>
      </c>
      <c r="F25" s="5" t="n">
        <v>6</v>
      </c>
      <c r="G25" s="5" t="n">
        <v>27</v>
      </c>
      <c r="H25" s="6">
        <f>ROUND(IF('③ パラメータ'!C34="固定",E25+'③ パラメータ'!B27*(1),E25*(1+'③ パラメータ'!D27*(1))),0)</f>
        <v/>
      </c>
      <c r="I25" s="6">
        <f>ROUND(IF('③ パラメータ'!C34="固定",F25+'③ パラメータ'!C27*(1),F25*(1+'③ パラメータ'!E27*(1))),0)</f>
        <v/>
      </c>
      <c r="J25" s="6">
        <f>MIN(100,G25+(INT((1-1)/'③ パラメータ'!C36)+1)*'③ パラメータ'!C35)</f>
        <v/>
      </c>
      <c r="K25" s="6">
        <f>ROUND(IF('③ パラメータ'!C34="固定",E25+'③ パラメータ'!B27*('③ パラメータ'!C32),E25*(1+'③ パラメータ'!D27*('③ パラメータ'!C32))),0)</f>
        <v/>
      </c>
      <c r="L25" s="6">
        <f>ROUND(IF('③ パラメータ'!C34="固定",F25+'③ パラメータ'!C27*('③ パラメータ'!C32),F25*(1+'③ パラメータ'!E27*('③ パラメータ'!C32))),0)</f>
        <v/>
      </c>
      <c r="M25" s="6">
        <f>MIN(100,G25+(INT(('③ パラメータ'!C32-1)/'③ パラメータ'!C36)+1)*'③ パラメータ'!C35)</f>
        <v/>
      </c>
      <c r="N25" s="5" t="inlineStr">
        <is>
          <t>深海の威圧</t>
        </is>
      </c>
      <c r="O25" s="7" t="inlineStr">
        <is>
          <t>敵全体を挑発（1ターン）する。挑発が強制するのは通常攻撃のみ。</t>
        </is>
      </c>
      <c r="P25" s="5" t="inlineStr">
        <is>
          <t>1バトル1回</t>
        </is>
      </c>
      <c r="Q25" s="5" t="inlineStr">
        <is>
          <t>—</t>
        </is>
      </c>
      <c r="R25" s="5" t="inlineStr">
        <is>
          <t>—</t>
        </is>
      </c>
      <c r="S25" s="5" t="inlineStr">
        <is>
          <t>—</t>
        </is>
      </c>
    </row>
    <row r="26">
      <c r="A26" s="5" t="inlineStr">
        <is>
          <t>サイクロプス</t>
        </is>
      </c>
      <c r="B26" s="5" t="inlineStr">
        <is>
          <t>B</t>
        </is>
      </c>
      <c r="C26" s="5" t="n">
        <v>3</v>
      </c>
      <c r="D26" s="5" t="inlineStr">
        <is>
          <t>男性</t>
        </is>
      </c>
      <c r="E26" s="5" t="n">
        <v>25</v>
      </c>
      <c r="F26" s="5" t="n">
        <v>10</v>
      </c>
      <c r="G26" s="5" t="n">
        <v>26</v>
      </c>
      <c r="H26" s="6">
        <f>ROUND(IF('③ パラメータ'!C34="固定",E26+'③ パラメータ'!B26*(1),E26*(1+'③ パラメータ'!D26*(1))),0)</f>
        <v/>
      </c>
      <c r="I26" s="6">
        <f>ROUND(IF('③ パラメータ'!C34="固定",F26+'③ パラメータ'!C26*(1),F26*(1+'③ パラメータ'!E26*(1))),0)</f>
        <v/>
      </c>
      <c r="J26" s="6">
        <f>MIN(100,G26+(INT((1-1)/'③ パラメータ'!C36)+1)*'③ パラメータ'!C35)</f>
        <v/>
      </c>
      <c r="K26" s="6">
        <f>ROUND(IF('③ パラメータ'!C34="固定",E26+'③ パラメータ'!B26*('③ パラメータ'!C32),E26*(1+'③ パラメータ'!D26*('③ パラメータ'!C32))),0)</f>
        <v/>
      </c>
      <c r="L26" s="6">
        <f>ROUND(IF('③ パラメータ'!C34="固定",F26+'③ パラメータ'!C26*('③ パラメータ'!C32),F26*(1+'③ パラメータ'!E26*('③ パラメータ'!C32))),0)</f>
        <v/>
      </c>
      <c r="M26" s="6">
        <f>MIN(100,G26+(INT(('③ パラメータ'!C32-1)/'③ パラメータ'!C36)+1)*'③ パラメータ'!C35)</f>
        <v/>
      </c>
      <c r="N26" s="5" t="inlineStr">
        <is>
          <t>—</t>
        </is>
      </c>
      <c r="O26" s="5" t="inlineStr">
        <is>
          <t>—</t>
        </is>
      </c>
      <c r="P26" s="5" t="inlineStr">
        <is>
          <t>—</t>
        </is>
      </c>
      <c r="Q26" s="5" t="inlineStr">
        <is>
          <t>—</t>
        </is>
      </c>
      <c r="R26" s="5" t="inlineStr">
        <is>
          <t>—</t>
        </is>
      </c>
      <c r="S26" s="5" t="inlineStr">
        <is>
          <t>—</t>
        </is>
      </c>
    </row>
    <row r="27">
      <c r="A27" s="5" t="inlineStr">
        <is>
          <t>ガルム</t>
        </is>
      </c>
      <c r="B27" s="5" t="inlineStr">
        <is>
          <t>B</t>
        </is>
      </c>
      <c r="C27" s="5" t="n">
        <v>3</v>
      </c>
      <c r="D27" s="5" t="inlineStr">
        <is>
          <t>男性</t>
        </is>
      </c>
      <c r="E27" s="5" t="n">
        <v>27</v>
      </c>
      <c r="F27" s="5" t="n">
        <v>9</v>
      </c>
      <c r="G27" s="5" t="n">
        <v>69</v>
      </c>
      <c r="H27" s="6">
        <f>ROUND(IF('③ パラメータ'!C34="固定",E27+'③ パラメータ'!B26*(1),E27*(1+'③ パラメータ'!D26*(1))),0)</f>
        <v/>
      </c>
      <c r="I27" s="6">
        <f>ROUND(IF('③ パラメータ'!C34="固定",F27+'③ パラメータ'!C26*(1),F27*(1+'③ パラメータ'!E26*(1))),0)</f>
        <v/>
      </c>
      <c r="J27" s="6">
        <f>MIN(100,G27+(INT((1-1)/'③ パラメータ'!C36)+1)*'③ パラメータ'!C35)</f>
        <v/>
      </c>
      <c r="K27" s="6">
        <f>ROUND(IF('③ パラメータ'!C34="固定",E27+'③ パラメータ'!B26*('③ パラメータ'!C32),E27*(1+'③ パラメータ'!D26*('③ パラメータ'!C32))),0)</f>
        <v/>
      </c>
      <c r="L27" s="6">
        <f>ROUND(IF('③ パラメータ'!C34="固定",F27+'③ パラメータ'!C26*('③ パラメータ'!C32),F27*(1+'③ パラメータ'!E26*('③ パラメータ'!C32))),0)</f>
        <v/>
      </c>
      <c r="M27" s="6">
        <f>MIN(100,G27+(INT(('③ パラメータ'!C32-1)/'③ パラメータ'!C36)+1)*'③ パラメータ'!C35)</f>
        <v/>
      </c>
      <c r="N27" s="5" t="inlineStr">
        <is>
          <t>—</t>
        </is>
      </c>
      <c r="O27" s="5" t="inlineStr">
        <is>
          <t>—</t>
        </is>
      </c>
      <c r="P27" s="5" t="inlineStr">
        <is>
          <t>—</t>
        </is>
      </c>
      <c r="Q27" s="5" t="inlineStr">
        <is>
          <t>—</t>
        </is>
      </c>
      <c r="R27" s="5" t="inlineStr">
        <is>
          <t>—</t>
        </is>
      </c>
      <c r="S27" s="5" t="inlineStr">
        <is>
          <t>—</t>
        </is>
      </c>
    </row>
    <row r="28">
      <c r="A28" s="5" t="inlineStr">
        <is>
          <t>ケルベロス</t>
        </is>
      </c>
      <c r="B28" s="5" t="inlineStr">
        <is>
          <t>B</t>
        </is>
      </c>
      <c r="C28" s="5" t="n">
        <v>3</v>
      </c>
      <c r="D28" s="5" t="inlineStr">
        <is>
          <t>男性</t>
        </is>
      </c>
      <c r="E28" s="5" t="n">
        <v>24</v>
      </c>
      <c r="F28" s="5" t="n">
        <v>8</v>
      </c>
      <c r="G28" s="5" t="n">
        <v>43</v>
      </c>
      <c r="H28" s="6">
        <f>ROUND(IF('③ パラメータ'!C34="固定",E28+'③ パラメータ'!B26*(1),E28*(1+'③ パラメータ'!D26*(1))),0)</f>
        <v/>
      </c>
      <c r="I28" s="6">
        <f>ROUND(IF('③ パラメータ'!C34="固定",F28+'③ パラメータ'!C26*(1),F28*(1+'③ パラメータ'!E26*(1))),0)</f>
        <v/>
      </c>
      <c r="J28" s="6">
        <f>MIN(100,G28+(INT((1-1)/'③ パラメータ'!C36)+1)*'③ パラメータ'!C35)</f>
        <v/>
      </c>
      <c r="K28" s="6">
        <f>ROUND(IF('③ パラメータ'!C34="固定",E28+'③ パラメータ'!B26*('③ パラメータ'!C32),E28*(1+'③ パラメータ'!D26*('③ パラメータ'!C32))),0)</f>
        <v/>
      </c>
      <c r="L28" s="6">
        <f>ROUND(IF('③ パラメータ'!C34="固定",F28+'③ パラメータ'!C26*('③ パラメータ'!C32),F28*(1+'③ パラメータ'!E26*('③ パラメータ'!C32))),0)</f>
        <v/>
      </c>
      <c r="M28" s="6">
        <f>MIN(100,G28+(INT(('③ パラメータ'!C32-1)/'③ パラメータ'!C36)+1)*'③ パラメータ'!C35)</f>
        <v/>
      </c>
      <c r="N28" s="5" t="inlineStr">
        <is>
          <t>—</t>
        </is>
      </c>
      <c r="O28" s="5" t="inlineStr">
        <is>
          <t>—</t>
        </is>
      </c>
      <c r="P28" s="5" t="inlineStr">
        <is>
          <t>—</t>
        </is>
      </c>
      <c r="Q28" s="5" t="inlineStr">
        <is>
          <t>三頭の狩り</t>
        </is>
      </c>
      <c r="R28" s="7" t="inlineStr">
        <is>
          <t>HP50%以下の敵を攻撃する時、その攻撃のみATK+25%。</t>
        </is>
      </c>
      <c r="S28" s="5" t="inlineStr">
        <is>
          <t>before_attack</t>
        </is>
      </c>
    </row>
    <row r="29">
      <c r="A29" s="5" t="inlineStr">
        <is>
          <t>グリフォン</t>
        </is>
      </c>
      <c r="B29" s="5" t="inlineStr">
        <is>
          <t>B</t>
        </is>
      </c>
      <c r="C29" s="5" t="n">
        <v>3</v>
      </c>
      <c r="D29" s="5" t="inlineStr">
        <is>
          <t>なし</t>
        </is>
      </c>
      <c r="E29" s="5" t="n">
        <v>30</v>
      </c>
      <c r="F29" s="5" t="n">
        <v>8</v>
      </c>
      <c r="G29" s="5" t="n">
        <v>89</v>
      </c>
      <c r="H29" s="6">
        <f>ROUND(IF('③ パラメータ'!C34="固定",E29+'③ パラメータ'!B26*(1),E29*(1+'③ パラメータ'!D26*(1))),0)</f>
        <v/>
      </c>
      <c r="I29" s="6">
        <f>ROUND(IF('③ パラメータ'!C34="固定",F29+'③ パラメータ'!C26*(1),F29*(1+'③ パラメータ'!E26*(1))),0)</f>
        <v/>
      </c>
      <c r="J29" s="6">
        <f>MIN(100,G29+(INT((1-1)/'③ パラメータ'!C36)+1)*'③ パラメータ'!C35)</f>
        <v/>
      </c>
      <c r="K29" s="6">
        <f>ROUND(IF('③ パラメータ'!C34="固定",E29+'③ パラメータ'!B26*('③ パラメータ'!C32),E29*(1+'③ パラメータ'!D26*('③ パラメータ'!C32))),0)</f>
        <v/>
      </c>
      <c r="L29" s="6">
        <f>ROUND(IF('③ パラメータ'!C34="固定",F29+'③ パラメータ'!C26*('③ パラメータ'!C32),F29*(1+'③ パラメータ'!E26*('③ パラメータ'!C32))),0)</f>
        <v/>
      </c>
      <c r="M29" s="6">
        <f>MIN(100,G29+(INT(('③ パラメータ'!C32-1)/'③ パラメータ'!C36)+1)*'③ パラメータ'!C35)</f>
        <v/>
      </c>
      <c r="N29" s="5" t="inlineStr">
        <is>
          <t>—</t>
        </is>
      </c>
      <c r="O29" s="5" t="inlineStr">
        <is>
          <t>—</t>
        </is>
      </c>
      <c r="P29" s="5" t="inlineStr">
        <is>
          <t>—</t>
        </is>
      </c>
      <c r="Q29" s="5" t="inlineStr">
        <is>
          <t>—</t>
        </is>
      </c>
      <c r="R29" s="5" t="inlineStr">
        <is>
          <t>—</t>
        </is>
      </c>
      <c r="S29" s="5" t="inlineStr">
        <is>
          <t>—</t>
        </is>
      </c>
    </row>
    <row r="30">
      <c r="A30" s="5" t="inlineStr">
        <is>
          <t>イフリート</t>
        </is>
      </c>
      <c r="B30" s="5" t="inlineStr">
        <is>
          <t>B</t>
        </is>
      </c>
      <c r="C30" s="5" t="n">
        <v>3</v>
      </c>
      <c r="D30" s="5" t="inlineStr">
        <is>
          <t>男性</t>
        </is>
      </c>
      <c r="E30" s="5" t="n">
        <v>24</v>
      </c>
      <c r="F30" s="5" t="n">
        <v>8</v>
      </c>
      <c r="G30" s="5" t="n">
        <v>48</v>
      </c>
      <c r="H30" s="6">
        <f>ROUND(IF('③ パラメータ'!C34="固定",E30+'③ パラメータ'!B26*(1),E30*(1+'③ パラメータ'!D26*(1))),0)</f>
        <v/>
      </c>
      <c r="I30" s="6">
        <f>ROUND(IF('③ パラメータ'!C34="固定",F30+'③ パラメータ'!C26*(1),F30*(1+'③ パラメータ'!E26*(1))),0)</f>
        <v/>
      </c>
      <c r="J30" s="6">
        <f>MIN(100,G30+(INT((1-1)/'③ パラメータ'!C36)+1)*'③ パラメータ'!C35)</f>
        <v/>
      </c>
      <c r="K30" s="6">
        <f>ROUND(IF('③ パラメータ'!C34="固定",E30+'③ パラメータ'!B26*('③ パラメータ'!C32),E30*(1+'③ パラメータ'!D26*('③ パラメータ'!C32))),0)</f>
        <v/>
      </c>
      <c r="L30" s="6">
        <f>ROUND(IF('③ パラメータ'!C34="固定",F30+'③ パラメータ'!C26*('③ パラメータ'!C32),F30*(1+'③ パラメータ'!E26*('③ パラメータ'!C32))),0)</f>
        <v/>
      </c>
      <c r="M30" s="6">
        <f>MIN(100,G30+(INT(('③ パラメータ'!C32-1)/'③ パラメータ'!C36)+1)*'③ パラメータ'!C35)</f>
        <v/>
      </c>
      <c r="N30" s="5" t="inlineStr">
        <is>
          <t>灼熱</t>
        </is>
      </c>
      <c r="O30" s="7" t="inlineStr">
        <is>
          <t>敵1体へ、自身のATK75%のスキルダメージ。このターンの攻撃を消費する。</t>
        </is>
      </c>
      <c r="P30" s="5" t="inlineStr">
        <is>
          <t>1バトル1回</t>
        </is>
      </c>
      <c r="Q30" s="5" t="inlineStr">
        <is>
          <t>—</t>
        </is>
      </c>
      <c r="R30" s="5" t="inlineStr">
        <is>
          <t>—</t>
        </is>
      </c>
      <c r="S30" s="5" t="inlineStr">
        <is>
          <t>—</t>
        </is>
      </c>
    </row>
    <row r="31">
      <c r="A31" s="5" t="inlineStr">
        <is>
          <t>フレースヴェルグ</t>
        </is>
      </c>
      <c r="B31" s="5" t="inlineStr">
        <is>
          <t>B</t>
        </is>
      </c>
      <c r="C31" s="5" t="n">
        <v>3</v>
      </c>
      <c r="D31" s="5" t="inlineStr">
        <is>
          <t>男性</t>
        </is>
      </c>
      <c r="E31" s="5" t="n">
        <v>26</v>
      </c>
      <c r="F31" s="5" t="n">
        <v>7</v>
      </c>
      <c r="G31" s="5" t="n">
        <v>86</v>
      </c>
      <c r="H31" s="6">
        <f>ROUND(IF('③ パラメータ'!C34="固定",E31+'③ パラメータ'!B26*(1),E31*(1+'③ パラメータ'!D26*(1))),0)</f>
        <v/>
      </c>
      <c r="I31" s="6">
        <f>ROUND(IF('③ パラメータ'!C34="固定",F31+'③ パラメータ'!C26*(1),F31*(1+'③ パラメータ'!E26*(1))),0)</f>
        <v/>
      </c>
      <c r="J31" s="6">
        <f>MIN(100,G31+(INT((1-1)/'③ パラメータ'!C36)+1)*'③ パラメータ'!C35)</f>
        <v/>
      </c>
      <c r="K31" s="6">
        <f>ROUND(IF('③ パラメータ'!C34="固定",E31+'③ パラメータ'!B26*('③ パラメータ'!C32),E31*(1+'③ パラメータ'!D26*('③ パラメータ'!C32))),0)</f>
        <v/>
      </c>
      <c r="L31" s="6">
        <f>ROUND(IF('③ パラメータ'!C34="固定",F31+'③ パラメータ'!C26*('③ パラメータ'!C32),F31*(1+'③ パラメータ'!E26*('③ パラメータ'!C32))),0)</f>
        <v/>
      </c>
      <c r="M31" s="6">
        <f>MIN(100,G31+(INT(('③ パラメータ'!C32-1)/'③ パラメータ'!C36)+1)*'③ パラメータ'!C35)</f>
        <v/>
      </c>
      <c r="N31" s="5" t="inlineStr">
        <is>
          <t>—</t>
        </is>
      </c>
      <c r="O31" s="5" t="inlineStr">
        <is>
          <t>—</t>
        </is>
      </c>
      <c r="P31" s="5" t="inlineStr">
        <is>
          <t>—</t>
        </is>
      </c>
      <c r="Q31" s="5" t="inlineStr">
        <is>
          <t>暴風の翼</t>
        </is>
      </c>
      <c r="R31" s="7" t="inlineStr">
        <is>
          <t>攻撃ダメージを与えた敵のSPD-5%（1ターン）。</t>
        </is>
      </c>
      <c r="S31" s="5" t="inlineStr">
        <is>
          <t>after_attack</t>
        </is>
      </c>
    </row>
    <row r="32">
      <c r="A32" s="5" t="inlineStr">
        <is>
          <t>メドゥーサ</t>
        </is>
      </c>
      <c r="B32" s="5" t="inlineStr">
        <is>
          <t>B</t>
        </is>
      </c>
      <c r="C32" s="5" t="n">
        <v>3</v>
      </c>
      <c r="D32" s="5" t="inlineStr">
        <is>
          <t>女性</t>
        </is>
      </c>
      <c r="E32" s="5" t="n">
        <v>27</v>
      </c>
      <c r="F32" s="5" t="n">
        <v>7</v>
      </c>
      <c r="G32" s="5" t="n">
        <v>79</v>
      </c>
      <c r="H32" s="6">
        <f>ROUND(IF('③ パラメータ'!C34="固定",E32+'③ パラメータ'!B26*(1),E32*(1+'③ パラメータ'!D26*(1))),0)</f>
        <v/>
      </c>
      <c r="I32" s="6">
        <f>ROUND(IF('③ パラメータ'!C34="固定",F32+'③ パラメータ'!C26*(1),F32*(1+'③ パラメータ'!E26*(1))),0)</f>
        <v/>
      </c>
      <c r="J32" s="6">
        <f>MIN(100,G32+(INT((1-1)/'③ パラメータ'!C36)+1)*'③ パラメータ'!C35)</f>
        <v/>
      </c>
      <c r="K32" s="6">
        <f>ROUND(IF('③ パラメータ'!C34="固定",E32+'③ パラメータ'!B26*('③ パラメータ'!C32),E32*(1+'③ パラメータ'!D26*('③ パラメータ'!C32))),0)</f>
        <v/>
      </c>
      <c r="L32" s="6">
        <f>ROUND(IF('③ パラメータ'!C34="固定",F32+'③ パラメータ'!C26*('③ パラメータ'!C32),F32*(1+'③ パラメータ'!E26*('③ パラメータ'!C32))),0)</f>
        <v/>
      </c>
      <c r="M32" s="6">
        <f>MIN(100,G32+(INT(('③ パラメータ'!C32-1)/'③ パラメータ'!C36)+1)*'③ パラメータ'!C35)</f>
        <v/>
      </c>
      <c r="N32" s="5" t="inlineStr">
        <is>
          <t>石化の魔眼</t>
        </is>
      </c>
      <c r="O32" s="7" t="inlineStr">
        <is>
          <t>敵1体を行動不能（1ターン）にする。このターンの攻撃を消費する。</t>
        </is>
      </c>
      <c r="P32" s="5" t="inlineStr">
        <is>
          <t>1バトル1回</t>
        </is>
      </c>
      <c r="Q32" s="5" t="inlineStr">
        <is>
          <t>—</t>
        </is>
      </c>
      <c r="R32" s="5" t="inlineStr">
        <is>
          <t>—</t>
        </is>
      </c>
      <c r="S32" s="5" t="inlineStr">
        <is>
          <t>—</t>
        </is>
      </c>
    </row>
    <row r="33">
      <c r="A33" s="5" t="inlineStr">
        <is>
          <t>ミノタウロス</t>
        </is>
      </c>
      <c r="B33" s="5" t="inlineStr">
        <is>
          <t>B</t>
        </is>
      </c>
      <c r="C33" s="5" t="n">
        <v>3</v>
      </c>
      <c r="D33" s="5" t="inlineStr">
        <is>
          <t>男性</t>
        </is>
      </c>
      <c r="E33" s="5" t="n">
        <v>38</v>
      </c>
      <c r="F33" s="5" t="n">
        <v>7</v>
      </c>
      <c r="G33" s="5" t="n">
        <v>14</v>
      </c>
      <c r="H33" s="6">
        <f>ROUND(IF('③ パラメータ'!C34="固定",E33+'③ パラメータ'!B26*(1),E33*(1+'③ パラメータ'!D26*(1))),0)</f>
        <v/>
      </c>
      <c r="I33" s="6">
        <f>ROUND(IF('③ パラメータ'!C34="固定",F33+'③ パラメータ'!C26*(1),F33*(1+'③ パラメータ'!E26*(1))),0)</f>
        <v/>
      </c>
      <c r="J33" s="6">
        <f>MIN(100,G33+(INT((1-1)/'③ パラメータ'!C36)+1)*'③ パラメータ'!C35)</f>
        <v/>
      </c>
      <c r="K33" s="6">
        <f>ROUND(IF('③ パラメータ'!C34="固定",E33+'③ パラメータ'!B26*('③ パラメータ'!C32),E33*(1+'③ パラメータ'!D26*('③ パラメータ'!C32))),0)</f>
        <v/>
      </c>
      <c r="L33" s="6">
        <f>ROUND(IF('③ パラメータ'!C34="固定",F33+'③ パラメータ'!C26*('③ パラメータ'!C32),F33*(1+'③ パラメータ'!E26*('③ パラメータ'!C32))),0)</f>
        <v/>
      </c>
      <c r="M33" s="6">
        <f>MIN(100,G33+(INT(('③ パラメータ'!C32-1)/'③ パラメータ'!C36)+1)*'③ パラメータ'!C35)</f>
        <v/>
      </c>
      <c r="N33" s="5" t="inlineStr">
        <is>
          <t>—</t>
        </is>
      </c>
      <c r="O33" s="5" t="inlineStr">
        <is>
          <t>—</t>
        </is>
      </c>
      <c r="P33" s="5" t="inlineStr">
        <is>
          <t>—</t>
        </is>
      </c>
      <c r="Q33" s="5" t="inlineStr">
        <is>
          <t>—</t>
        </is>
      </c>
      <c r="R33" s="5" t="inlineStr">
        <is>
          <t>—</t>
        </is>
      </c>
      <c r="S33" s="5" t="inlineStr">
        <is>
          <t>—</t>
        </is>
      </c>
    </row>
    <row r="34">
      <c r="A34" s="5" t="inlineStr">
        <is>
          <t>キマイラ</t>
        </is>
      </c>
      <c r="B34" s="5" t="inlineStr">
        <is>
          <t>B</t>
        </is>
      </c>
      <c r="C34" s="5" t="n">
        <v>3</v>
      </c>
      <c r="D34" s="5" t="inlineStr">
        <is>
          <t>女性</t>
        </is>
      </c>
      <c r="E34" s="5" t="n">
        <v>27</v>
      </c>
      <c r="F34" s="5" t="n">
        <v>7</v>
      </c>
      <c r="G34" s="5" t="n">
        <v>60</v>
      </c>
      <c r="H34" s="6">
        <f>ROUND(IF('③ パラメータ'!C34="固定",E34+'③ パラメータ'!B26*(1),E34*(1+'③ パラメータ'!D26*(1))),0)</f>
        <v/>
      </c>
      <c r="I34" s="6">
        <f>ROUND(IF('③ パラメータ'!C34="固定",F34+'③ パラメータ'!C26*(1),F34*(1+'③ パラメータ'!E26*(1))),0)</f>
        <v/>
      </c>
      <c r="J34" s="6">
        <f>MIN(100,G34+(INT((1-1)/'③ パラメータ'!C36)+1)*'③ パラメータ'!C35)</f>
        <v/>
      </c>
      <c r="K34" s="6">
        <f>ROUND(IF('③ パラメータ'!C34="固定",E34+'③ パラメータ'!B26*('③ パラメータ'!C32),E34*(1+'③ パラメータ'!D26*('③ パラメータ'!C32))),0)</f>
        <v/>
      </c>
      <c r="L34" s="6">
        <f>ROUND(IF('③ パラメータ'!C34="固定",F34+'③ パラメータ'!C26*('③ パラメータ'!C32),F34*(1+'③ パラメータ'!E26*('③ パラメータ'!C32))),0)</f>
        <v/>
      </c>
      <c r="M34" s="6">
        <f>MIN(100,G34+(INT(('③ パラメータ'!C32-1)/'③ パラメータ'!C36)+1)*'③ パラメータ'!C35)</f>
        <v/>
      </c>
      <c r="N34" s="5" t="inlineStr">
        <is>
          <t>—</t>
        </is>
      </c>
      <c r="O34" s="5" t="inlineStr">
        <is>
          <t>—</t>
        </is>
      </c>
      <c r="P34" s="5" t="inlineStr">
        <is>
          <t>—</t>
        </is>
      </c>
      <c r="Q34" s="5" t="inlineStr">
        <is>
          <t>異形の狩り</t>
        </is>
      </c>
      <c r="R34" s="7" t="inlineStr">
        <is>
          <t>状態異常またはデバフを受けている敵を攻撃する時、その攻撃のみATK+30%。</t>
        </is>
      </c>
      <c r="S34" s="5" t="inlineStr">
        <is>
          <t>before_attack</t>
        </is>
      </c>
    </row>
    <row r="35">
      <c r="A35" s="5" t="inlineStr">
        <is>
          <t>アザゼル</t>
        </is>
      </c>
      <c r="B35" s="5" t="inlineStr">
        <is>
          <t>B</t>
        </is>
      </c>
      <c r="C35" s="5" t="n">
        <v>3</v>
      </c>
      <c r="D35" s="5" t="inlineStr">
        <is>
          <t>男性</t>
        </is>
      </c>
      <c r="E35" s="5" t="n">
        <v>27</v>
      </c>
      <c r="F35" s="5" t="n">
        <v>7</v>
      </c>
      <c r="G35" s="5" t="n">
        <v>67</v>
      </c>
      <c r="H35" s="6">
        <f>ROUND(IF('③ パラメータ'!C34="固定",E35+'③ パラメータ'!B26*(1),E35*(1+'③ パラメータ'!D26*(1))),0)</f>
        <v/>
      </c>
      <c r="I35" s="6">
        <f>ROUND(IF('③ パラメータ'!C34="固定",F35+'③ パラメータ'!C26*(1),F35*(1+'③ パラメータ'!E26*(1))),0)</f>
        <v/>
      </c>
      <c r="J35" s="6">
        <f>MIN(100,G35+(INT((1-1)/'③ パラメータ'!C36)+1)*'③ パラメータ'!C35)</f>
        <v/>
      </c>
      <c r="K35" s="6">
        <f>ROUND(IF('③ パラメータ'!C34="固定",E35+'③ パラメータ'!B26*('③ パラメータ'!C32),E35*(1+'③ パラメータ'!D26*('③ パラメータ'!C32))),0)</f>
        <v/>
      </c>
      <c r="L35" s="6">
        <f>ROUND(IF('③ パラメータ'!C34="固定",F35+'③ パラメータ'!C26*('③ パラメータ'!C32),F35*(1+'③ パラメータ'!E26*('③ パラメータ'!C32))),0)</f>
        <v/>
      </c>
      <c r="M35" s="6">
        <f>MIN(100,G35+(INT(('③ パラメータ'!C32-1)/'③ パラメータ'!C36)+1)*'③ パラメータ'!C35)</f>
        <v/>
      </c>
      <c r="N35" s="5" t="inlineStr">
        <is>
          <t>堕天の鼓舞</t>
        </is>
      </c>
      <c r="O35" s="7" t="inlineStr">
        <is>
          <t>味方1体のATK+15%（2ターン）。</t>
        </is>
      </c>
      <c r="P35" s="5" t="inlineStr">
        <is>
          <t>制限なし</t>
        </is>
      </c>
      <c r="Q35" s="5" t="inlineStr">
        <is>
          <t>—</t>
        </is>
      </c>
      <c r="R35" s="5" t="inlineStr">
        <is>
          <t>—</t>
        </is>
      </c>
      <c r="S35" s="5" t="inlineStr">
        <is>
          <t>—</t>
        </is>
      </c>
    </row>
    <row r="36">
      <c r="A36" s="5" t="inlineStr">
        <is>
          <t>セイレーン</t>
        </is>
      </c>
      <c r="B36" s="5" t="inlineStr">
        <is>
          <t>B</t>
        </is>
      </c>
      <c r="C36" s="5" t="n">
        <v>3</v>
      </c>
      <c r="D36" s="5" t="inlineStr">
        <is>
          <t>女性</t>
        </is>
      </c>
      <c r="E36" s="5" t="n">
        <v>26</v>
      </c>
      <c r="F36" s="5" t="n">
        <v>7</v>
      </c>
      <c r="G36" s="5" t="n">
        <v>80</v>
      </c>
      <c r="H36" s="6">
        <f>ROUND(IF('③ パラメータ'!C34="固定",E36+'③ パラメータ'!B26*(1),E36*(1+'③ パラメータ'!D26*(1))),0)</f>
        <v/>
      </c>
      <c r="I36" s="6">
        <f>ROUND(IF('③ パラメータ'!C34="固定",F36+'③ パラメータ'!C26*(1),F36*(1+'③ パラメータ'!E26*(1))),0)</f>
        <v/>
      </c>
      <c r="J36" s="6">
        <f>MIN(100,G36+(INT((1-1)/'③ パラメータ'!C36)+1)*'③ パラメータ'!C35)</f>
        <v/>
      </c>
      <c r="K36" s="6">
        <f>ROUND(IF('③ パラメータ'!C34="固定",E36+'③ パラメータ'!B26*('③ パラメータ'!C32),E36*(1+'③ パラメータ'!D26*('③ パラメータ'!C32))),0)</f>
        <v/>
      </c>
      <c r="L36" s="6">
        <f>ROUND(IF('③ パラメータ'!C34="固定",F36+'③ パラメータ'!C26*('③ パラメータ'!C32),F36*(1+'③ パラメータ'!E26*('③ パラメータ'!C32))),0)</f>
        <v/>
      </c>
      <c r="M36" s="6">
        <f>MIN(100,G36+(INT(('③ パラメータ'!C32-1)/'③ パラメータ'!C36)+1)*'③ パラメータ'!C35)</f>
        <v/>
      </c>
      <c r="N36" s="5" t="inlineStr">
        <is>
          <t>—</t>
        </is>
      </c>
      <c r="O36" s="5" t="inlineStr">
        <is>
          <t>—</t>
        </is>
      </c>
      <c r="P36" s="5" t="inlineStr">
        <is>
          <t>—</t>
        </is>
      </c>
      <c r="Q36" s="5" t="inlineStr">
        <is>
          <t>惑わしの歌</t>
        </is>
      </c>
      <c r="R36" s="7" t="inlineStr">
        <is>
          <t>バトル開始時、男性の敵の中で最もATKが高い1体のATK-15%。</t>
        </is>
      </c>
      <c r="S36" s="5" t="inlineStr">
        <is>
          <t>バトル開始時</t>
        </is>
      </c>
    </row>
    <row r="37">
      <c r="A37" s="5" t="inlineStr">
        <is>
          <t>デュラハン</t>
        </is>
      </c>
      <c r="B37" s="5" t="inlineStr">
        <is>
          <t>B</t>
        </is>
      </c>
      <c r="C37" s="5" t="n">
        <v>3</v>
      </c>
      <c r="D37" s="5" t="inlineStr">
        <is>
          <t>男性</t>
        </is>
      </c>
      <c r="E37" s="5" t="n">
        <v>29</v>
      </c>
      <c r="F37" s="5" t="n">
        <v>7</v>
      </c>
      <c r="G37" s="5" t="n">
        <v>38</v>
      </c>
      <c r="H37" s="6">
        <f>ROUND(IF('③ パラメータ'!C34="固定",E37+'③ パラメータ'!B26*(1),E37*(1+'③ パラメータ'!D26*(1))),0)</f>
        <v/>
      </c>
      <c r="I37" s="6">
        <f>ROUND(IF('③ パラメータ'!C34="固定",F37+'③ パラメータ'!C26*(1),F37*(1+'③ パラメータ'!E26*(1))),0)</f>
        <v/>
      </c>
      <c r="J37" s="6">
        <f>MIN(100,G37+(INT((1-1)/'③ パラメータ'!C36)+1)*'③ パラメータ'!C35)</f>
        <v/>
      </c>
      <c r="K37" s="6">
        <f>ROUND(IF('③ パラメータ'!C34="固定",E37+'③ パラメータ'!B26*('③ パラメータ'!C32),E37*(1+'③ パラメータ'!D26*('③ パラメータ'!C32))),0)</f>
        <v/>
      </c>
      <c r="L37" s="6">
        <f>ROUND(IF('③ パラメータ'!C34="固定",F37+'③ パラメータ'!C26*('③ パラメータ'!C32),F37*(1+'③ パラメータ'!E26*('③ パラメータ'!C32))),0)</f>
        <v/>
      </c>
      <c r="M37" s="6">
        <f>MIN(100,G37+(INT(('③ パラメータ'!C32-1)/'③ パラメータ'!C36)+1)*'③ パラメータ'!C35)</f>
        <v/>
      </c>
      <c r="N37" s="5" t="inlineStr">
        <is>
          <t>—</t>
        </is>
      </c>
      <c r="O37" s="5" t="inlineStr">
        <is>
          <t>—</t>
        </is>
      </c>
      <c r="P37" s="5" t="inlineStr">
        <is>
          <t>—</t>
        </is>
      </c>
      <c r="Q37" s="5" t="inlineStr">
        <is>
          <t>首無し騎士</t>
        </is>
      </c>
      <c r="R37" s="7" t="inlineStr">
        <is>
          <t>攻撃ダメージによって戦闘不能になる時、最大HP4%で耐える。スキルダメージ・継続ダメージでは発動しない。</t>
        </is>
      </c>
      <c r="S37" s="5" t="inlineStr">
        <is>
          <t>自分が倒れる直前</t>
        </is>
      </c>
    </row>
    <row r="38">
      <c r="A38" s="5" t="inlineStr">
        <is>
          <t>バンシー</t>
        </is>
      </c>
      <c r="B38" s="5" t="inlineStr">
        <is>
          <t>B</t>
        </is>
      </c>
      <c r="C38" s="5" t="n">
        <v>3</v>
      </c>
      <c r="D38" s="5" t="inlineStr">
        <is>
          <t>女性</t>
        </is>
      </c>
      <c r="E38" s="5" t="n">
        <v>27</v>
      </c>
      <c r="F38" s="5" t="n">
        <v>7</v>
      </c>
      <c r="G38" s="5" t="n">
        <v>66</v>
      </c>
      <c r="H38" s="6">
        <f>ROUND(IF('③ パラメータ'!C34="固定",E38+'③ パラメータ'!B26*(1),E38*(1+'③ パラメータ'!D26*(1))),0)</f>
        <v/>
      </c>
      <c r="I38" s="6">
        <f>ROUND(IF('③ パラメータ'!C34="固定",F38+'③ パラメータ'!C26*(1),F38*(1+'③ パラメータ'!E26*(1))),0)</f>
        <v/>
      </c>
      <c r="J38" s="6">
        <f>MIN(100,G38+(INT((1-1)/'③ パラメータ'!C36)+1)*'③ パラメータ'!C35)</f>
        <v/>
      </c>
      <c r="K38" s="6">
        <f>ROUND(IF('③ パラメータ'!C34="固定",E38+'③ パラメータ'!B26*('③ パラメータ'!C32),E38*(1+'③ パラメータ'!D26*('③ パラメータ'!C32))),0)</f>
        <v/>
      </c>
      <c r="L38" s="6">
        <f>ROUND(IF('③ パラメータ'!C34="固定",F38+'③ パラメータ'!C26*('③ パラメータ'!C32),F38*(1+'③ パラメータ'!E26*('③ パラメータ'!C32))),0)</f>
        <v/>
      </c>
      <c r="M38" s="6">
        <f>MIN(100,G38+(INT(('③ パラメータ'!C32-1)/'③ パラメータ'!C36)+1)*'③ パラメータ'!C35)</f>
        <v/>
      </c>
      <c r="N38" s="5" t="inlineStr">
        <is>
          <t>—</t>
        </is>
      </c>
      <c r="O38" s="5" t="inlineStr">
        <is>
          <t>—</t>
        </is>
      </c>
      <c r="P38" s="5" t="inlineStr">
        <is>
          <t>—</t>
        </is>
      </c>
      <c r="Q38" s="5" t="inlineStr">
        <is>
          <t>死者の慟哭</t>
        </is>
      </c>
      <c r="R38" s="7" t="inlineStr">
        <is>
          <t>味方が蘇生した時、その使い魔のHPを、さらに最大HP25%分回復する。</t>
        </is>
      </c>
      <c r="S38" s="5" t="inlineStr">
        <is>
          <t>蘇生された時</t>
        </is>
      </c>
    </row>
    <row r="39">
      <c r="A39" s="5" t="inlineStr">
        <is>
          <t>ヒュドラ</t>
        </is>
      </c>
      <c r="B39" s="5" t="inlineStr">
        <is>
          <t>B</t>
        </is>
      </c>
      <c r="C39" s="5" t="n">
        <v>3</v>
      </c>
      <c r="D39" s="5" t="inlineStr">
        <is>
          <t>女性</t>
        </is>
      </c>
      <c r="E39" s="5" t="n">
        <v>32</v>
      </c>
      <c r="F39" s="5" t="n">
        <v>6</v>
      </c>
      <c r="G39" s="5" t="n">
        <v>41</v>
      </c>
      <c r="H39" s="6">
        <f>ROUND(IF('③ パラメータ'!C34="固定",E39+'③ パラメータ'!B26*(1),E39*(1+'③ パラメータ'!D26*(1))),0)</f>
        <v/>
      </c>
      <c r="I39" s="6">
        <f>ROUND(IF('③ パラメータ'!C34="固定",F39+'③ パラメータ'!C26*(1),F39*(1+'③ パラメータ'!E26*(1))),0)</f>
        <v/>
      </c>
      <c r="J39" s="6">
        <f>MIN(100,G39+(INT((1-1)/'③ パラメータ'!C36)+1)*'③ パラメータ'!C35)</f>
        <v/>
      </c>
      <c r="K39" s="6">
        <f>ROUND(IF('③ パラメータ'!C34="固定",E39+'③ パラメータ'!B26*('③ パラメータ'!C32),E39*(1+'③ パラメータ'!D26*('③ パラメータ'!C32))),0)</f>
        <v/>
      </c>
      <c r="L39" s="6">
        <f>ROUND(IF('③ パラメータ'!C34="固定",F39+'③ パラメータ'!C26*('③ パラメータ'!C32),F39*(1+'③ パラメータ'!E26*('③ パラメータ'!C32))),0)</f>
        <v/>
      </c>
      <c r="M39" s="6">
        <f>MIN(100,G39+(INT(('③ パラメータ'!C32-1)/'③ パラメータ'!C36)+1)*'③ パラメータ'!C35)</f>
        <v/>
      </c>
      <c r="N39" s="5" t="inlineStr">
        <is>
          <t>—</t>
        </is>
      </c>
      <c r="O39" s="5" t="inlineStr">
        <is>
          <t>—</t>
        </is>
      </c>
      <c r="P39" s="5" t="inlineStr">
        <is>
          <t>—</t>
        </is>
      </c>
      <c r="Q39" s="5" t="inlineStr">
        <is>
          <t>猛毒増幅</t>
        </is>
      </c>
      <c r="R39" s="7" t="inlineStr">
        <is>
          <t>敵に毒が付与される時、その毒のダメージ+1、継続ターン+1。同じ毒に対して1回のみ適用。</t>
        </is>
      </c>
      <c r="S39" s="5" t="inlineStr">
        <is>
          <t>バトル開始時</t>
        </is>
      </c>
    </row>
    <row r="40">
      <c r="A40" s="5" t="inlineStr">
        <is>
          <t>雪女</t>
        </is>
      </c>
      <c r="B40" s="5" t="inlineStr">
        <is>
          <t>B</t>
        </is>
      </c>
      <c r="C40" s="5" t="n">
        <v>3</v>
      </c>
      <c r="D40" s="5" t="inlineStr">
        <is>
          <t>女性</t>
        </is>
      </c>
      <c r="E40" s="5" t="n">
        <v>31</v>
      </c>
      <c r="F40" s="5" t="n">
        <v>6</v>
      </c>
      <c r="G40" s="5" t="n">
        <v>72</v>
      </c>
      <c r="H40" s="6">
        <f>ROUND(IF('③ パラメータ'!C34="固定",E40+'③ パラメータ'!B26*(1),E40*(1+'③ パラメータ'!D26*(1))),0)</f>
        <v/>
      </c>
      <c r="I40" s="6">
        <f>ROUND(IF('③ パラメータ'!C34="固定",F40+'③ パラメータ'!C26*(1),F40*(1+'③ パラメータ'!E26*(1))),0)</f>
        <v/>
      </c>
      <c r="J40" s="6">
        <f>MIN(100,G40+(INT((1-1)/'③ パラメータ'!C36)+1)*'③ パラメータ'!C35)</f>
        <v/>
      </c>
      <c r="K40" s="6">
        <f>ROUND(IF('③ パラメータ'!C34="固定",E40+'③ パラメータ'!B26*('③ パラメータ'!C32),E40*(1+'③ パラメータ'!D26*('③ パラメータ'!C32))),0)</f>
        <v/>
      </c>
      <c r="L40" s="6">
        <f>ROUND(IF('③ パラメータ'!C34="固定",F40+'③ パラメータ'!C26*('③ パラメータ'!C32),F40*(1+'③ パラメータ'!E26*('③ パラメータ'!C32))),0)</f>
        <v/>
      </c>
      <c r="M40" s="6">
        <f>MIN(100,G40+(INT(('③ パラメータ'!C32-1)/'③ パラメータ'!C36)+1)*'③ パラメータ'!C35)</f>
        <v/>
      </c>
      <c r="N40" s="5" t="inlineStr">
        <is>
          <t>凍てつく風</t>
        </is>
      </c>
      <c r="O40" s="7" t="inlineStr">
        <is>
          <t>敵全体のSPD-5%（1ターン）。このターンの攻撃を消費する。</t>
        </is>
      </c>
      <c r="P40" s="5" t="inlineStr">
        <is>
          <t>制限なし</t>
        </is>
      </c>
      <c r="Q40" s="5" t="inlineStr">
        <is>
          <t>—</t>
        </is>
      </c>
      <c r="R40" s="5" t="inlineStr">
        <is>
          <t>—</t>
        </is>
      </c>
      <c r="S40" s="5" t="inlineStr">
        <is>
          <t>—</t>
        </is>
      </c>
    </row>
    <row r="41">
      <c r="A41" s="5" t="inlineStr">
        <is>
          <t>パイモン</t>
        </is>
      </c>
      <c r="B41" s="5" t="inlineStr">
        <is>
          <t>B</t>
        </is>
      </c>
      <c r="C41" s="5" t="n">
        <v>3</v>
      </c>
      <c r="D41" s="5" t="inlineStr">
        <is>
          <t>男性</t>
        </is>
      </c>
      <c r="E41" s="5" t="n">
        <v>31</v>
      </c>
      <c r="F41" s="5" t="n">
        <v>6</v>
      </c>
      <c r="G41" s="5" t="n">
        <v>71</v>
      </c>
      <c r="H41" s="6">
        <f>ROUND(IF('③ パラメータ'!C34="固定",E41+'③ パラメータ'!B26*(1),E41*(1+'③ パラメータ'!D26*(1))),0)</f>
        <v/>
      </c>
      <c r="I41" s="6">
        <f>ROUND(IF('③ パラメータ'!C34="固定",F41+'③ パラメータ'!C26*(1),F41*(1+'③ パラメータ'!E26*(1))),0)</f>
        <v/>
      </c>
      <c r="J41" s="6">
        <f>MIN(100,G41+(INT((1-1)/'③ パラメータ'!C36)+1)*'③ パラメータ'!C35)</f>
        <v/>
      </c>
      <c r="K41" s="6">
        <f>ROUND(IF('③ パラメータ'!C34="固定",E41+'③ パラメータ'!B26*('③ パラメータ'!C32),E41*(1+'③ パラメータ'!D26*('③ パラメータ'!C32))),0)</f>
        <v/>
      </c>
      <c r="L41" s="6">
        <f>ROUND(IF('③ パラメータ'!C34="固定",F41+'③ パラメータ'!C26*('③ パラメータ'!C32),F41*(1+'③ パラメータ'!E26*('③ パラメータ'!C32))),0)</f>
        <v/>
      </c>
      <c r="M41" s="6">
        <f>MIN(100,G41+(INT(('③ パラメータ'!C32-1)/'③ パラメータ'!C36)+1)*'③ パラメータ'!C35)</f>
        <v/>
      </c>
      <c r="N41" s="5" t="inlineStr">
        <is>
          <t>—</t>
        </is>
      </c>
      <c r="O41" s="5" t="inlineStr">
        <is>
          <t>—</t>
        </is>
      </c>
      <c r="P41" s="5" t="inlineStr">
        <is>
          <t>—</t>
        </is>
      </c>
      <c r="Q41" s="5" t="inlineStr">
        <is>
          <t>王の施し</t>
        </is>
      </c>
      <c r="R41" s="7" t="inlineStr">
        <is>
          <t>自分のターン開始時、生存している味方の中で現在HPが最も低い1体のHPを、その使い魔の最大HP12%分回復する。</t>
        </is>
      </c>
      <c r="S41" s="5" t="inlineStr">
        <is>
          <t>自分のターン開始時</t>
        </is>
      </c>
    </row>
    <row r="42">
      <c r="A42" s="5" t="inlineStr">
        <is>
          <t>ベヒーモス</t>
        </is>
      </c>
      <c r="B42" s="5" t="inlineStr">
        <is>
          <t>B</t>
        </is>
      </c>
      <c r="C42" s="5" t="n">
        <v>3</v>
      </c>
      <c r="D42" s="5" t="inlineStr">
        <is>
          <t>なし</t>
        </is>
      </c>
      <c r="E42" s="5" t="n">
        <v>42</v>
      </c>
      <c r="F42" s="5" t="n">
        <v>6</v>
      </c>
      <c r="G42" s="5" t="n">
        <v>10</v>
      </c>
      <c r="H42" s="6">
        <f>ROUND(IF('③ パラメータ'!C34="固定",E42+'③ パラメータ'!B26*(1),E42*(1+'③ パラメータ'!D26*(1))),0)</f>
        <v/>
      </c>
      <c r="I42" s="6">
        <f>ROUND(IF('③ パラメータ'!C34="固定",F42+'③ パラメータ'!C26*(1),F42*(1+'③ パラメータ'!E26*(1))),0)</f>
        <v/>
      </c>
      <c r="J42" s="6">
        <f>MIN(100,G42+(INT((1-1)/'③ パラメータ'!C36)+1)*'③ パラメータ'!C35)</f>
        <v/>
      </c>
      <c r="K42" s="6">
        <f>ROUND(IF('③ パラメータ'!C34="固定",E42+'③ パラメータ'!B26*('③ パラメータ'!C32),E42*(1+'③ パラメータ'!D26*('③ パラメータ'!C32))),0)</f>
        <v/>
      </c>
      <c r="L42" s="6">
        <f>ROUND(IF('③ パラメータ'!C34="固定",F42+'③ パラメータ'!C26*('③ パラメータ'!C32),F42*(1+'③ パラメータ'!E26*('③ パラメータ'!C32))),0)</f>
        <v/>
      </c>
      <c r="M42" s="6">
        <f>MIN(100,G42+(INT(('③ パラメータ'!C32-1)/'③ パラメータ'!C36)+1)*'③ パラメータ'!C35)</f>
        <v/>
      </c>
      <c r="N42" s="5" t="inlineStr">
        <is>
          <t>—</t>
        </is>
      </c>
      <c r="O42" s="5" t="inlineStr">
        <is>
          <t>—</t>
        </is>
      </c>
      <c r="P42" s="5" t="inlineStr">
        <is>
          <t>—</t>
        </is>
      </c>
      <c r="Q42" s="5" t="inlineStr">
        <is>
          <t>—</t>
        </is>
      </c>
      <c r="R42" s="5" t="inlineStr">
        <is>
          <t>—</t>
        </is>
      </c>
      <c r="S42" s="5" t="inlineStr">
        <is>
          <t>—</t>
        </is>
      </c>
    </row>
    <row r="43">
      <c r="A43" s="5" t="inlineStr">
        <is>
          <t>スフィンクス</t>
        </is>
      </c>
      <c r="B43" s="5" t="inlineStr">
        <is>
          <t>B</t>
        </is>
      </c>
      <c r="C43" s="5" t="n">
        <v>3</v>
      </c>
      <c r="D43" s="5" t="inlineStr">
        <is>
          <t>女性</t>
        </is>
      </c>
      <c r="E43" s="5" t="n">
        <v>33</v>
      </c>
      <c r="F43" s="5" t="n">
        <v>6</v>
      </c>
      <c r="G43" s="5" t="n">
        <v>35</v>
      </c>
      <c r="H43" s="6">
        <f>ROUND(IF('③ パラメータ'!C34="固定",E43+'③ パラメータ'!B26*(1),E43*(1+'③ パラメータ'!D26*(1))),0)</f>
        <v/>
      </c>
      <c r="I43" s="6">
        <f>ROUND(IF('③ パラメータ'!C34="固定",F43+'③ パラメータ'!C26*(1),F43*(1+'③ パラメータ'!E26*(1))),0)</f>
        <v/>
      </c>
      <c r="J43" s="6">
        <f>MIN(100,G43+(INT((1-1)/'③ パラメータ'!C36)+1)*'③ パラメータ'!C35)</f>
        <v/>
      </c>
      <c r="K43" s="6">
        <f>ROUND(IF('③ パラメータ'!C34="固定",E43+'③ パラメータ'!B26*('③ パラメータ'!C32),E43*(1+'③ パラメータ'!D26*('③ パラメータ'!C32))),0)</f>
        <v/>
      </c>
      <c r="L43" s="6">
        <f>ROUND(IF('③ パラメータ'!C34="固定",F43+'③ パラメータ'!C26*('③ パラメータ'!C32),F43*(1+'③ パラメータ'!E26*('③ パラメータ'!C32))),0)</f>
        <v/>
      </c>
      <c r="M43" s="6">
        <f>MIN(100,G43+(INT(('③ パラメータ'!C32-1)/'③ パラメータ'!C36)+1)*'③ パラメータ'!C35)</f>
        <v/>
      </c>
      <c r="N43" s="5" t="inlineStr">
        <is>
          <t>—</t>
        </is>
      </c>
      <c r="O43" s="5" t="inlineStr">
        <is>
          <t>—</t>
        </is>
      </c>
      <c r="P43" s="5" t="inlineStr">
        <is>
          <t>—</t>
        </is>
      </c>
      <c r="Q43" s="5" t="inlineStr">
        <is>
          <t>古代の守護</t>
        </is>
      </c>
      <c r="R43" s="7" t="inlineStr">
        <is>
          <t>自身がバトル中初めて受ける状態異常を無効化する。</t>
        </is>
      </c>
      <c r="S43" s="5" t="inlineStr">
        <is>
          <t>状態異常を受ける直前</t>
        </is>
      </c>
    </row>
    <row r="44">
      <c r="A44" s="5" t="inlineStr">
        <is>
          <t>クラーケン</t>
        </is>
      </c>
      <c r="B44" s="5" t="inlineStr">
        <is>
          <t>B</t>
        </is>
      </c>
      <c r="C44" s="5" t="n">
        <v>3</v>
      </c>
      <c r="D44" s="5" t="inlineStr">
        <is>
          <t>なし</t>
        </is>
      </c>
      <c r="E44" s="5" t="n">
        <v>33</v>
      </c>
      <c r="F44" s="5" t="n">
        <v>6</v>
      </c>
      <c r="G44" s="5" t="n">
        <v>22</v>
      </c>
      <c r="H44" s="6">
        <f>ROUND(IF('③ パラメータ'!C34="固定",E44+'③ パラメータ'!B26*(1),E44*(1+'③ パラメータ'!D26*(1))),0)</f>
        <v/>
      </c>
      <c r="I44" s="6">
        <f>ROUND(IF('③ パラメータ'!C34="固定",F44+'③ パラメータ'!C26*(1),F44*(1+'③ パラメータ'!E26*(1))),0)</f>
        <v/>
      </c>
      <c r="J44" s="6">
        <f>MIN(100,G44+(INT((1-1)/'③ パラメータ'!C36)+1)*'③ パラメータ'!C35)</f>
        <v/>
      </c>
      <c r="K44" s="6">
        <f>ROUND(IF('③ パラメータ'!C34="固定",E44+'③ パラメータ'!B26*('③ パラメータ'!C32),E44*(1+'③ パラメータ'!D26*('③ パラメータ'!C32))),0)</f>
        <v/>
      </c>
      <c r="L44" s="6">
        <f>ROUND(IF('③ パラメータ'!C34="固定",F44+'③ パラメータ'!C26*('③ パラメータ'!C32),F44*(1+'③ パラメータ'!E26*('③ パラメータ'!C32))),0)</f>
        <v/>
      </c>
      <c r="M44" s="6">
        <f>MIN(100,G44+(INT(('③ パラメータ'!C32-1)/'③ パラメータ'!C36)+1)*'③ パラメータ'!C35)</f>
        <v/>
      </c>
      <c r="N44" s="5" t="inlineStr">
        <is>
          <t>—</t>
        </is>
      </c>
      <c r="O44" s="5" t="inlineStr">
        <is>
          <t>—</t>
        </is>
      </c>
      <c r="P44" s="5" t="inlineStr">
        <is>
          <t>—</t>
        </is>
      </c>
      <c r="Q44" s="5" t="inlineStr">
        <is>
          <t>深海の拘束</t>
        </is>
      </c>
      <c r="R44" s="7" t="inlineStr">
        <is>
          <t>通常攻撃を受けた時、攻撃した敵のSPD-4%（1ターン）。</t>
        </is>
      </c>
      <c r="S44" s="5" t="inlineStr">
        <is>
          <t>on_damage</t>
        </is>
      </c>
    </row>
    <row r="45">
      <c r="A45" s="5" t="inlineStr">
        <is>
          <t>ペガサス</t>
        </is>
      </c>
      <c r="B45" s="5" t="inlineStr">
        <is>
          <t>B</t>
        </is>
      </c>
      <c r="C45" s="5" t="n">
        <v>3</v>
      </c>
      <c r="D45" s="5" t="inlineStr">
        <is>
          <t>男性</t>
        </is>
      </c>
      <c r="E45" s="5" t="n">
        <v>34</v>
      </c>
      <c r="F45" s="5" t="n">
        <v>5</v>
      </c>
      <c r="G45" s="5" t="n">
        <v>98</v>
      </c>
      <c r="H45" s="6">
        <f>ROUND(IF('③ パラメータ'!C34="固定",E45+'③ パラメータ'!B26*(1),E45*(1+'③ パラメータ'!D26*(1))),0)</f>
        <v/>
      </c>
      <c r="I45" s="6">
        <f>ROUND(IF('③ パラメータ'!C34="固定",F45+'③ パラメータ'!C26*(1),F45*(1+'③ パラメータ'!E26*(1))),0)</f>
        <v/>
      </c>
      <c r="J45" s="6">
        <f>MIN(100,G45+(INT((1-1)/'③ パラメータ'!C36)+1)*'③ パラメータ'!C35)</f>
        <v/>
      </c>
      <c r="K45" s="6">
        <f>ROUND(IF('③ パラメータ'!C34="固定",E45+'③ パラメータ'!B26*('③ パラメータ'!C32),E45*(1+'③ パラメータ'!D26*('③ パラメータ'!C32))),0)</f>
        <v/>
      </c>
      <c r="L45" s="6">
        <f>ROUND(IF('③ パラメータ'!C34="固定",F45+'③ パラメータ'!C26*('③ パラメータ'!C32),F45*(1+'③ パラメータ'!E26*('③ パラメータ'!C32))),0)</f>
        <v/>
      </c>
      <c r="M45" s="6">
        <f>MIN(100,G45+(INT(('③ パラメータ'!C32-1)/'③ パラメータ'!C36)+1)*'③ パラメータ'!C35)</f>
        <v/>
      </c>
      <c r="N45" s="5" t="inlineStr">
        <is>
          <t>天駆の加護</t>
        </is>
      </c>
      <c r="O45" s="7" t="inlineStr">
        <is>
          <t>味方1体のSPD+12%（2ターン）。</t>
        </is>
      </c>
      <c r="P45" s="5" t="inlineStr">
        <is>
          <t>1バトル1回</t>
        </is>
      </c>
      <c r="Q45" s="5" t="inlineStr">
        <is>
          <t>—</t>
        </is>
      </c>
      <c r="R45" s="5" t="inlineStr">
        <is>
          <t>—</t>
        </is>
      </c>
      <c r="S45" s="5" t="inlineStr">
        <is>
          <t>—</t>
        </is>
      </c>
    </row>
    <row r="46">
      <c r="A46" s="5" t="inlineStr">
        <is>
          <t>ダークエルフ</t>
        </is>
      </c>
      <c r="B46" s="5" t="inlineStr">
        <is>
          <t>C</t>
        </is>
      </c>
      <c r="C46" s="5" t="n">
        <v>2</v>
      </c>
      <c r="D46" s="5" t="inlineStr">
        <is>
          <t>女性</t>
        </is>
      </c>
      <c r="E46" s="5" t="n">
        <v>14</v>
      </c>
      <c r="F46" s="5" t="n">
        <v>8</v>
      </c>
      <c r="G46" s="5" t="n">
        <v>83</v>
      </c>
      <c r="H46" s="6">
        <f>ROUND(IF('③ パラメータ'!C34="固定",E46+'③ パラメータ'!B25*(1),E46*(1+'③ パラメータ'!D25*(1))),0)</f>
        <v/>
      </c>
      <c r="I46" s="6">
        <f>ROUND(IF('③ パラメータ'!C34="固定",F46+'③ パラメータ'!C25*(1),F46*(1+'③ パラメータ'!E25*(1))),0)</f>
        <v/>
      </c>
      <c r="J46" s="6">
        <f>MIN(100,G46+(INT((1-1)/'③ パラメータ'!C36)+1)*'③ パラメータ'!C35)</f>
        <v/>
      </c>
      <c r="K46" s="6">
        <f>ROUND(IF('③ パラメータ'!C34="固定",E46+'③ パラメータ'!B25*('③ パラメータ'!C32),E46*(1+'③ パラメータ'!D25*('③ パラメータ'!C32))),0)</f>
        <v/>
      </c>
      <c r="L46" s="6">
        <f>ROUND(IF('③ パラメータ'!C34="固定",F46+'③ パラメータ'!C25*('③ パラメータ'!C32),F46*(1+'③ パラメータ'!E25*('③ パラメータ'!C32))),0)</f>
        <v/>
      </c>
      <c r="M46" s="6">
        <f>MIN(100,G46+(INT(('③ パラメータ'!C32-1)/'③ パラメータ'!C36)+1)*'③ パラメータ'!C35)</f>
        <v/>
      </c>
      <c r="N46" s="5" t="inlineStr">
        <is>
          <t>—</t>
        </is>
      </c>
      <c r="O46" s="5" t="inlineStr">
        <is>
          <t>—</t>
        </is>
      </c>
      <c r="P46" s="5" t="inlineStr">
        <is>
          <t>—</t>
        </is>
      </c>
      <c r="Q46" s="5" t="inlineStr">
        <is>
          <t>—</t>
        </is>
      </c>
      <c r="R46" s="5" t="inlineStr">
        <is>
          <t>—</t>
        </is>
      </c>
      <c r="S46" s="5" t="inlineStr">
        <is>
          <t>—</t>
        </is>
      </c>
    </row>
    <row r="47">
      <c r="A47" s="5" t="inlineStr">
        <is>
          <t>ゴブリン</t>
        </is>
      </c>
      <c r="B47" s="5" t="inlineStr">
        <is>
          <t>C</t>
        </is>
      </c>
      <c r="C47" s="5" t="n">
        <v>2</v>
      </c>
      <c r="D47" s="5" t="inlineStr">
        <is>
          <t>男性</t>
        </is>
      </c>
      <c r="E47" s="5" t="n">
        <v>20</v>
      </c>
      <c r="F47" s="5" t="n">
        <v>7</v>
      </c>
      <c r="G47" s="5" t="n">
        <v>57</v>
      </c>
      <c r="H47" s="6">
        <f>ROUND(IF('③ パラメータ'!C34="固定",E47+'③ パラメータ'!B25*(1),E47*(1+'③ パラメータ'!D25*(1))),0)</f>
        <v/>
      </c>
      <c r="I47" s="6">
        <f>ROUND(IF('③ パラメータ'!C34="固定",F47+'③ パラメータ'!C25*(1),F47*(1+'③ パラメータ'!E25*(1))),0)</f>
        <v/>
      </c>
      <c r="J47" s="6">
        <f>MIN(100,G47+(INT((1-1)/'③ パラメータ'!C36)+1)*'③ パラメータ'!C35)</f>
        <v/>
      </c>
      <c r="K47" s="6">
        <f>ROUND(IF('③ パラメータ'!C34="固定",E47+'③ パラメータ'!B25*('③ パラメータ'!C32),E47*(1+'③ パラメータ'!D25*('③ パラメータ'!C32))),0)</f>
        <v/>
      </c>
      <c r="L47" s="6">
        <f>ROUND(IF('③ パラメータ'!C34="固定",F47+'③ パラメータ'!C25*('③ パラメータ'!C32),F47*(1+'③ パラメータ'!E25*('③ パラメータ'!C32))),0)</f>
        <v/>
      </c>
      <c r="M47" s="6">
        <f>MIN(100,G47+(INT(('③ パラメータ'!C32-1)/'③ パラメータ'!C36)+1)*'③ パラメータ'!C35)</f>
        <v/>
      </c>
      <c r="N47" s="5" t="inlineStr">
        <is>
          <t>—</t>
        </is>
      </c>
      <c r="O47" s="5" t="inlineStr">
        <is>
          <t>—</t>
        </is>
      </c>
      <c r="P47" s="5" t="inlineStr">
        <is>
          <t>—</t>
        </is>
      </c>
      <c r="Q47" s="5" t="inlineStr">
        <is>
          <t>—</t>
        </is>
      </c>
      <c r="R47" s="5" t="inlineStr">
        <is>
          <t>—</t>
        </is>
      </c>
      <c r="S47" s="5" t="inlineStr">
        <is>
          <t>—</t>
        </is>
      </c>
    </row>
    <row r="48">
      <c r="A48" s="5" t="inlineStr">
        <is>
          <t>インプ</t>
        </is>
      </c>
      <c r="B48" s="5" t="inlineStr">
        <is>
          <t>C</t>
        </is>
      </c>
      <c r="C48" s="5" t="n">
        <v>2</v>
      </c>
      <c r="D48" s="5" t="inlineStr">
        <is>
          <t>男性</t>
        </is>
      </c>
      <c r="E48" s="5" t="n">
        <v>18</v>
      </c>
      <c r="F48" s="5" t="n">
        <v>7</v>
      </c>
      <c r="G48" s="5" t="n">
        <v>87</v>
      </c>
      <c r="H48" s="6">
        <f>ROUND(IF('③ パラメータ'!C34="固定",E48+'③ パラメータ'!B25*(1),E48*(1+'③ パラメータ'!D25*(1))),0)</f>
        <v/>
      </c>
      <c r="I48" s="6">
        <f>ROUND(IF('③ パラメータ'!C34="固定",F48+'③ パラメータ'!C25*(1),F48*(1+'③ パラメータ'!E25*(1))),0)</f>
        <v/>
      </c>
      <c r="J48" s="6">
        <f>MIN(100,G48+(INT((1-1)/'③ パラメータ'!C36)+1)*'③ パラメータ'!C35)</f>
        <v/>
      </c>
      <c r="K48" s="6">
        <f>ROUND(IF('③ パラメータ'!C34="固定",E48+'③ パラメータ'!B25*('③ パラメータ'!C32),E48*(1+'③ パラメータ'!D25*('③ パラメータ'!C32))),0)</f>
        <v/>
      </c>
      <c r="L48" s="6">
        <f>ROUND(IF('③ パラメータ'!C34="固定",F48+'③ パラメータ'!C25*('③ パラメータ'!C32),F48*(1+'③ パラメータ'!E25*('③ パラメータ'!C32))),0)</f>
        <v/>
      </c>
      <c r="M48" s="6">
        <f>MIN(100,G48+(INT(('③ パラメータ'!C32-1)/'③ パラメータ'!C36)+1)*'③ パラメータ'!C35)</f>
        <v/>
      </c>
      <c r="N48" s="5" t="inlineStr">
        <is>
          <t>—</t>
        </is>
      </c>
      <c r="O48" s="5" t="inlineStr">
        <is>
          <t>—</t>
        </is>
      </c>
      <c r="P48" s="5" t="inlineStr">
        <is>
          <t>—</t>
        </is>
      </c>
      <c r="Q48" s="5" t="inlineStr">
        <is>
          <t>—</t>
        </is>
      </c>
      <c r="R48" s="5" t="inlineStr">
        <is>
          <t>—</t>
        </is>
      </c>
      <c r="S48" s="5" t="inlineStr">
        <is>
          <t>—</t>
        </is>
      </c>
    </row>
    <row r="49">
      <c r="A49" s="5" t="inlineStr">
        <is>
          <t>スケルトン</t>
        </is>
      </c>
      <c r="B49" s="5" t="inlineStr">
        <is>
          <t>C</t>
        </is>
      </c>
      <c r="C49" s="5" t="n">
        <v>2</v>
      </c>
      <c r="D49" s="5" t="inlineStr">
        <is>
          <t>なし</t>
        </is>
      </c>
      <c r="E49" s="5" t="n">
        <v>25</v>
      </c>
      <c r="F49" s="5" t="n">
        <v>6</v>
      </c>
      <c r="G49" s="5" t="n">
        <v>20</v>
      </c>
      <c r="H49" s="6">
        <f>ROUND(IF('③ パラメータ'!C34="固定",E49+'③ パラメータ'!B25*(1),E49*(1+'③ パラメータ'!D25*(1))),0)</f>
        <v/>
      </c>
      <c r="I49" s="6">
        <f>ROUND(IF('③ パラメータ'!C34="固定",F49+'③ パラメータ'!C25*(1),F49*(1+'③ パラメータ'!E25*(1))),0)</f>
        <v/>
      </c>
      <c r="J49" s="6">
        <f>MIN(100,G49+(INT((1-1)/'③ パラメータ'!C36)+1)*'③ パラメータ'!C35)</f>
        <v/>
      </c>
      <c r="K49" s="6">
        <f>ROUND(IF('③ パラメータ'!C34="固定",E49+'③ パラメータ'!B25*('③ パラメータ'!C32),E49*(1+'③ パラメータ'!D25*('③ パラメータ'!C32))),0)</f>
        <v/>
      </c>
      <c r="L49" s="6">
        <f>ROUND(IF('③ パラメータ'!C34="固定",F49+'③ パラメータ'!C25*('③ パラメータ'!C32),F49*(1+'③ パラメータ'!E25*('③ パラメータ'!C32))),0)</f>
        <v/>
      </c>
      <c r="M49" s="6">
        <f>MIN(100,G49+(INT(('③ パラメータ'!C32-1)/'③ パラメータ'!C36)+1)*'③ パラメータ'!C35)</f>
        <v/>
      </c>
      <c r="N49" s="5" t="inlineStr">
        <is>
          <t>—</t>
        </is>
      </c>
      <c r="O49" s="5" t="inlineStr">
        <is>
          <t>—</t>
        </is>
      </c>
      <c r="P49" s="5" t="inlineStr">
        <is>
          <t>—</t>
        </is>
      </c>
      <c r="Q49" s="5" t="inlineStr">
        <is>
          <t>—</t>
        </is>
      </c>
      <c r="R49" s="5" t="inlineStr">
        <is>
          <t>—</t>
        </is>
      </c>
      <c r="S49" s="5" t="inlineStr">
        <is>
          <t>—</t>
        </is>
      </c>
    </row>
    <row r="50">
      <c r="A50" s="5" t="inlineStr">
        <is>
          <t>スライム</t>
        </is>
      </c>
      <c r="B50" s="5" t="inlineStr">
        <is>
          <t>C</t>
        </is>
      </c>
      <c r="C50" s="5" t="n">
        <v>2</v>
      </c>
      <c r="D50" s="5" t="inlineStr">
        <is>
          <t>なし</t>
        </is>
      </c>
      <c r="E50" s="5" t="n">
        <v>30</v>
      </c>
      <c r="F50" s="5" t="n">
        <v>5</v>
      </c>
      <c r="G50" s="5" t="n">
        <v>8</v>
      </c>
      <c r="H50" s="6">
        <f>ROUND(IF('③ パラメータ'!C34="固定",E50+'③ パラメータ'!B25*(1),E50*(1+'③ パラメータ'!D25*(1))),0)</f>
        <v/>
      </c>
      <c r="I50" s="6">
        <f>ROUND(IF('③ パラメータ'!C34="固定",F50+'③ パラメータ'!C25*(1),F50*(1+'③ パラメータ'!E25*(1))),0)</f>
        <v/>
      </c>
      <c r="J50" s="6">
        <f>MIN(100,G50+(INT((1-1)/'③ パラメータ'!C36)+1)*'③ パラメータ'!C35)</f>
        <v/>
      </c>
      <c r="K50" s="6">
        <f>ROUND(IF('③ パラメータ'!C34="固定",E50+'③ パラメータ'!B25*('③ パラメータ'!C32),E50*(1+'③ パラメータ'!D25*('③ パラメータ'!C32))),0)</f>
        <v/>
      </c>
      <c r="L50" s="6">
        <f>ROUND(IF('③ パラメータ'!C34="固定",F50+'③ パラメータ'!C25*('③ パラメータ'!C32),F50*(1+'③ パラメータ'!E25*('③ パラメータ'!C32))),0)</f>
        <v/>
      </c>
      <c r="M50" s="6">
        <f>MIN(100,G50+(INT(('③ パラメータ'!C32-1)/'③ パラメータ'!C36)+1)*'③ パラメータ'!C35)</f>
        <v/>
      </c>
      <c r="N50" s="5" t="inlineStr">
        <is>
          <t>—</t>
        </is>
      </c>
      <c r="O50" s="5" t="inlineStr">
        <is>
          <t>—</t>
        </is>
      </c>
      <c r="P50" s="5" t="inlineStr">
        <is>
          <t>—</t>
        </is>
      </c>
      <c r="Q50" s="5" t="inlineStr">
        <is>
          <t>—</t>
        </is>
      </c>
      <c r="R50" s="5" t="inlineStr">
        <is>
          <t>—</t>
        </is>
      </c>
      <c r="S50" s="5" t="inlineStr">
        <is>
          <t>—</t>
        </is>
      </c>
    </row>
    <row r="51">
      <c r="A51" s="5" t="inlineStr">
        <is>
          <t>ミミック</t>
        </is>
      </c>
      <c r="B51" s="5" t="inlineStr">
        <is>
          <t>C</t>
        </is>
      </c>
      <c r="C51" s="5" t="n">
        <v>2</v>
      </c>
      <c r="D51" s="5" t="inlineStr">
        <is>
          <t>なし</t>
        </is>
      </c>
      <c r="E51" s="5" t="n">
        <v>29</v>
      </c>
      <c r="F51" s="5" t="n">
        <v>5</v>
      </c>
      <c r="G51" s="5" t="n">
        <v>28</v>
      </c>
      <c r="H51" s="6">
        <f>ROUND(IF('③ パラメータ'!C34="固定",E51+'③ パラメータ'!B25*(1),E51*(1+'③ パラメータ'!D25*(1))),0)</f>
        <v/>
      </c>
      <c r="I51" s="6">
        <f>ROUND(IF('③ パラメータ'!C34="固定",F51+'③ パラメータ'!C25*(1),F51*(1+'③ パラメータ'!E25*(1))),0)</f>
        <v/>
      </c>
      <c r="J51" s="6">
        <f>MIN(100,G51+(INT((1-1)/'③ パラメータ'!C36)+1)*'③ パラメータ'!C35)</f>
        <v/>
      </c>
      <c r="K51" s="6">
        <f>ROUND(IF('③ パラメータ'!C34="固定",E51+'③ パラメータ'!B25*('③ パラメータ'!C32),E51*(1+'③ パラメータ'!D25*('③ パラメータ'!C32))),0)</f>
        <v/>
      </c>
      <c r="L51" s="6">
        <f>ROUND(IF('③ パラメータ'!C34="固定",F51+'③ パラメータ'!C25*('③ パラメータ'!C32),F51*(1+'③ パラメータ'!E25*('③ パラメータ'!C32))),0)</f>
        <v/>
      </c>
      <c r="M51" s="6">
        <f>MIN(100,G51+(INT(('③ パラメータ'!C32-1)/'③ パラメータ'!C36)+1)*'③ パラメータ'!C35)</f>
        <v/>
      </c>
      <c r="N51" s="5" t="inlineStr">
        <is>
          <t>—</t>
        </is>
      </c>
      <c r="O51" s="5" t="inlineStr">
        <is>
          <t>—</t>
        </is>
      </c>
      <c r="P51" s="5" t="inlineStr">
        <is>
          <t>—</t>
        </is>
      </c>
      <c r="Q51" s="5" t="inlineStr">
        <is>
          <t>—</t>
        </is>
      </c>
      <c r="R51" s="5" t="inlineStr">
        <is>
          <t>—</t>
        </is>
      </c>
      <c r="S51" s="5" t="inlineStr">
        <is>
          <t>—</t>
        </is>
      </c>
    </row>
    <row r="52">
      <c r="A52" s="5" t="inlineStr">
        <is>
          <t>ウィスプ</t>
        </is>
      </c>
      <c r="B52" s="5" t="inlineStr">
        <is>
          <t>C</t>
        </is>
      </c>
      <c r="C52" s="5" t="n">
        <v>2</v>
      </c>
      <c r="D52" s="5" t="inlineStr">
        <is>
          <t>なし</t>
        </is>
      </c>
      <c r="E52" s="5" t="n">
        <v>26</v>
      </c>
      <c r="F52" s="5" t="n">
        <v>5</v>
      </c>
      <c r="G52" s="5" t="n">
        <v>94</v>
      </c>
      <c r="H52" s="6">
        <f>ROUND(IF('③ パラメータ'!C34="固定",E52+'③ パラメータ'!B25*(1),E52*(1+'③ パラメータ'!D25*(1))),0)</f>
        <v/>
      </c>
      <c r="I52" s="6">
        <f>ROUND(IF('③ パラメータ'!C34="固定",F52+'③ パラメータ'!C25*(1),F52*(1+'③ パラメータ'!E25*(1))),0)</f>
        <v/>
      </c>
      <c r="J52" s="6">
        <f>MIN(100,G52+(INT((1-1)/'③ パラメータ'!C36)+1)*'③ パラメータ'!C35)</f>
        <v/>
      </c>
      <c r="K52" s="6">
        <f>ROUND(IF('③ パラメータ'!C34="固定",E52+'③ パラメータ'!B25*('③ パラメータ'!C32),E52*(1+'③ パラメータ'!D25*('③ パラメータ'!C32))),0)</f>
        <v/>
      </c>
      <c r="L52" s="6">
        <f>ROUND(IF('③ パラメータ'!C34="固定",F52+'③ パラメータ'!C25*('③ パラメータ'!C32),F52*(1+'③ パラメータ'!E25*('③ パラメータ'!C32))),0)</f>
        <v/>
      </c>
      <c r="M52" s="6">
        <f>MIN(100,G52+(INT(('③ パラメータ'!C32-1)/'③ パラメータ'!C36)+1)*'③ パラメータ'!C35)</f>
        <v/>
      </c>
      <c r="N52" s="5" t="inlineStr">
        <is>
          <t>—</t>
        </is>
      </c>
      <c r="O52" s="5" t="inlineStr">
        <is>
          <t>—</t>
        </is>
      </c>
      <c r="P52" s="5" t="inlineStr">
        <is>
          <t>—</t>
        </is>
      </c>
      <c r="Q52" s="5" t="inlineStr">
        <is>
          <t>—</t>
        </is>
      </c>
      <c r="R52" s="5" t="inlineStr">
        <is>
          <t>—</t>
        </is>
      </c>
      <c r="S52" s="5" t="inlineStr">
        <is>
          <t>—</t>
        </is>
      </c>
    </row>
    <row r="53">
      <c r="A53" s="5" t="inlineStr">
        <is>
          <t>フェアリー</t>
        </is>
      </c>
      <c r="B53" s="5" t="inlineStr">
        <is>
          <t>C</t>
        </is>
      </c>
      <c r="C53" s="5" t="n">
        <v>2</v>
      </c>
      <c r="D53" s="5" t="inlineStr">
        <is>
          <t>女性</t>
        </is>
      </c>
      <c r="E53" s="5" t="n">
        <v>27</v>
      </c>
      <c r="F53" s="5" t="n">
        <v>5</v>
      </c>
      <c r="G53" s="5" t="n">
        <v>73</v>
      </c>
      <c r="H53" s="6">
        <f>ROUND(IF('③ パラメータ'!C34="固定",E53+'③ パラメータ'!B25*(1),E53*(1+'③ パラメータ'!D25*(1))),0)</f>
        <v/>
      </c>
      <c r="I53" s="6">
        <f>ROUND(IF('③ パラメータ'!C34="固定",F53+'③ パラメータ'!C25*(1),F53*(1+'③ パラメータ'!E25*(1))),0)</f>
        <v/>
      </c>
      <c r="J53" s="6">
        <f>MIN(100,G53+(INT((1-1)/'③ パラメータ'!C36)+1)*'③ パラメータ'!C35)</f>
        <v/>
      </c>
      <c r="K53" s="6">
        <f>ROUND(IF('③ パラメータ'!C34="固定",E53+'③ パラメータ'!B25*('③ パラメータ'!C32),E53*(1+'③ パラメータ'!D25*('③ パラメータ'!C32))),0)</f>
        <v/>
      </c>
      <c r="L53" s="6">
        <f>ROUND(IF('③ パラメータ'!C34="固定",F53+'③ パラメータ'!C25*('③ パラメータ'!C32),F53*(1+'③ パラメータ'!E25*('③ パラメータ'!C32))),0)</f>
        <v/>
      </c>
      <c r="M53" s="6">
        <f>MIN(100,G53+(INT(('③ パラメータ'!C32-1)/'③ パラメータ'!C36)+1)*'③ パラメータ'!C35)</f>
        <v/>
      </c>
      <c r="N53" s="5" t="inlineStr">
        <is>
          <t>—</t>
        </is>
      </c>
      <c r="O53" s="5" t="inlineStr">
        <is>
          <t>—</t>
        </is>
      </c>
      <c r="P53" s="5" t="inlineStr">
        <is>
          <t>—</t>
        </is>
      </c>
      <c r="Q53" s="5" t="inlineStr">
        <is>
          <t>—</t>
        </is>
      </c>
      <c r="R53" s="5" t="inlineStr">
        <is>
          <t>—</t>
        </is>
      </c>
      <c r="S53" s="5" t="inlineStr">
        <is>
          <t>—</t>
        </is>
      </c>
    </row>
    <row r="54">
      <c r="A54" s="5" t="inlineStr">
        <is>
          <t>カーバンクル</t>
        </is>
      </c>
      <c r="B54" s="5" t="inlineStr">
        <is>
          <t>C</t>
        </is>
      </c>
      <c r="C54" s="5" t="n">
        <v>2</v>
      </c>
      <c r="D54" s="5" t="inlineStr">
        <is>
          <t>なし</t>
        </is>
      </c>
      <c r="E54" s="5" t="n">
        <v>29</v>
      </c>
      <c r="F54" s="5" t="n">
        <v>5</v>
      </c>
      <c r="G54" s="5" t="n">
        <v>34</v>
      </c>
      <c r="H54" s="6">
        <f>ROUND(IF('③ パラメータ'!C34="固定",E54+'③ パラメータ'!B25*(1),E54*(1+'③ パラメータ'!D25*(1))),0)</f>
        <v/>
      </c>
      <c r="I54" s="6">
        <f>ROUND(IF('③ パラメータ'!C34="固定",F54+'③ パラメータ'!C25*(1),F54*(1+'③ パラメータ'!E25*(1))),0)</f>
        <v/>
      </c>
      <c r="J54" s="6">
        <f>MIN(100,G54+(INT((1-1)/'③ パラメータ'!C36)+1)*'③ パラメータ'!C35)</f>
        <v/>
      </c>
      <c r="K54" s="6">
        <f>ROUND(IF('③ パラメータ'!C34="固定",E54+'③ パラメータ'!B25*('③ パラメータ'!C32),E54*(1+'③ パラメータ'!D25*('③ パラメータ'!C32))),0)</f>
        <v/>
      </c>
      <c r="L54" s="6">
        <f>ROUND(IF('③ パラメータ'!C34="固定",F54+'③ パラメータ'!C25*('③ パラメータ'!C32),F54*(1+'③ パラメータ'!E25*('③ パラメータ'!C32))),0)</f>
        <v/>
      </c>
      <c r="M54" s="6">
        <f>MIN(100,G54+(INT(('③ パラメータ'!C32-1)/'③ パラメータ'!C36)+1)*'③ パラメータ'!C35)</f>
        <v/>
      </c>
      <c r="N54" s="5" t="inlineStr">
        <is>
          <t>—</t>
        </is>
      </c>
      <c r="O54" s="5" t="inlineStr">
        <is>
          <t>—</t>
        </is>
      </c>
      <c r="P54" s="5" t="inlineStr">
        <is>
          <t>—</t>
        </is>
      </c>
      <c r="Q54" s="5" t="inlineStr">
        <is>
          <t>—</t>
        </is>
      </c>
      <c r="R54" s="5" t="inlineStr">
        <is>
          <t>—</t>
        </is>
      </c>
      <c r="S54" s="5" t="inlineStr">
        <is>
          <t>—</t>
        </is>
      </c>
    </row>
    <row r="55">
      <c r="A55" s="5" t="inlineStr">
        <is>
          <t>マンドラゴラ</t>
        </is>
      </c>
      <c r="B55" s="5" t="inlineStr">
        <is>
          <t>C</t>
        </is>
      </c>
      <c r="C55" s="5" t="n">
        <v>2</v>
      </c>
      <c r="D55" s="5" t="inlineStr">
        <is>
          <t>なし</t>
        </is>
      </c>
      <c r="E55" s="5" t="n">
        <v>34</v>
      </c>
      <c r="F55" s="5" t="n">
        <v>4</v>
      </c>
      <c r="G55" s="5" t="n">
        <v>6</v>
      </c>
      <c r="H55" s="6">
        <f>ROUND(IF('③ パラメータ'!C34="固定",E55+'③ パラメータ'!B25*(1),E55*(1+'③ パラメータ'!D25*(1))),0)</f>
        <v/>
      </c>
      <c r="I55" s="6">
        <f>ROUND(IF('③ パラメータ'!C34="固定",F55+'③ パラメータ'!C25*(1),F55*(1+'③ パラメータ'!E25*(1))),0)</f>
        <v/>
      </c>
      <c r="J55" s="6">
        <f>MIN(100,G55+(INT((1-1)/'③ パラメータ'!C36)+1)*'③ パラメータ'!C35)</f>
        <v/>
      </c>
      <c r="K55" s="6">
        <f>ROUND(IF('③ パラメータ'!C34="固定",E55+'③ パラメータ'!B25*('③ パラメータ'!C32),E55*(1+'③ パラメータ'!D25*('③ パラメータ'!C32))),0)</f>
        <v/>
      </c>
      <c r="L55" s="6">
        <f>ROUND(IF('③ パラメータ'!C34="固定",F55+'③ パラメータ'!C25*('③ パラメータ'!C32),F55*(1+'③ パラメータ'!E25*('③ パラメータ'!C32))),0)</f>
        <v/>
      </c>
      <c r="M55" s="6">
        <f>MIN(100,G55+(INT(('③ パラメータ'!C32-1)/'③ パラメータ'!C36)+1)*'③ パラメータ'!C35)</f>
        <v/>
      </c>
      <c r="N55" s="5" t="inlineStr">
        <is>
          <t>—</t>
        </is>
      </c>
      <c r="O55" s="5" t="inlineStr">
        <is>
          <t>—</t>
        </is>
      </c>
      <c r="P55" s="5" t="inlineStr">
        <is>
          <t>—</t>
        </is>
      </c>
      <c r="Q55" s="5" t="inlineStr">
        <is>
          <t>—</t>
        </is>
      </c>
      <c r="R55" s="5" t="inlineStr">
        <is>
          <t>—</t>
        </is>
      </c>
      <c r="S55" s="5" t="inlineStr">
        <is>
          <t>—</t>
        </is>
      </c>
    </row>
  </sheetData>
  <autoFilter ref="A5:S55"/>
  <mergeCells count="3">
    <mergeCell ref="A3:S3"/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50" customWidth="1" min="6" max="6"/>
  </cols>
  <sheetData>
    <row r="1" ht="22" customHeight="1">
      <c r="A1" s="1" t="inlineStr">
        <is>
          <t xml:space="preserve">  ③ パラメータ　— 黄色のセルを書き換えてください</t>
        </is>
      </c>
    </row>
    <row r="2">
      <c r="A2" s="3" t="inlineStr">
        <is>
          <t xml:space="preserve">　　このシートの数値だけが計算の入り口です。ほかのシートは全部ここを見ています。</t>
        </is>
      </c>
    </row>
    <row r="3">
      <c r="A3" s="8" t="inlineStr">
        <is>
          <t>■ 各ランクの使い魔の数</t>
        </is>
      </c>
    </row>
    <row r="4">
      <c r="A4" s="4" t="inlineStr">
        <is>
          <t>ランク</t>
        </is>
      </c>
      <c r="B4" s="4" t="inlineStr">
        <is>
          <t>現在</t>
        </is>
      </c>
      <c r="C4" s="4" t="inlineStr">
        <is>
          <t>試す値</t>
        </is>
      </c>
      <c r="D4" s="4" t="inlineStr"/>
      <c r="E4" s="4" t="inlineStr"/>
      <c r="F4" s="4" t="inlineStr">
        <is>
          <t>説明</t>
        </is>
      </c>
    </row>
    <row r="5">
      <c r="A5" s="5" t="inlineStr">
        <is>
          <t>Cランク</t>
        </is>
      </c>
      <c r="B5" s="9" t="n">
        <v>10</v>
      </c>
      <c r="C5" s="10" t="n">
        <v>10</v>
      </c>
      <c r="F5" s="3" t="inlineStr">
        <is>
          <t>数を減らすと、同じ使い魔が出やすくなります（＝合成しやすい）</t>
        </is>
      </c>
    </row>
    <row r="6">
      <c r="A6" s="5" t="inlineStr">
        <is>
          <t>Bランク</t>
        </is>
      </c>
      <c r="B6" s="9" t="n">
        <v>20</v>
      </c>
      <c r="C6" s="10" t="n">
        <v>20</v>
      </c>
    </row>
    <row r="7">
      <c r="A7" s="5" t="inlineStr">
        <is>
          <t>Aランク</t>
        </is>
      </c>
      <c r="B7" s="9" t="n">
        <v>15</v>
      </c>
      <c r="C7" s="10" t="n">
        <v>15</v>
      </c>
    </row>
    <row r="8">
      <c r="A8" s="5" t="inlineStr">
        <is>
          <t>Sランク</t>
        </is>
      </c>
      <c r="B8" s="9" t="n">
        <v>5</v>
      </c>
      <c r="C8" s="10" t="n">
        <v>5</v>
      </c>
    </row>
    <row r="9">
      <c r="A9" s="5" t="inlineStr">
        <is>
          <t>合計</t>
        </is>
      </c>
      <c r="B9" s="9">
        <f>SUM(B5:B8)</f>
        <v/>
      </c>
      <c r="C9" s="9">
        <f>SUM(C5:C8)</f>
        <v/>
      </c>
    </row>
    <row r="11">
      <c r="A11" s="8" t="inlineStr">
        <is>
          <t>■ ガチャの排出率（単発・千分率。合計を必ず1000にする）</t>
        </is>
      </c>
    </row>
    <row r="12">
      <c r="A12" s="4" t="inlineStr">
        <is>
          <t>ランク</t>
        </is>
      </c>
      <c r="B12" s="4" t="inlineStr">
        <is>
          <t>現在</t>
        </is>
      </c>
      <c r="C12" s="4" t="inlineStr">
        <is>
          <t>試す値</t>
        </is>
      </c>
      <c r="D12" s="4" t="inlineStr">
        <is>
          <t>％</t>
        </is>
      </c>
      <c r="E12" s="4" t="inlineStr"/>
      <c r="F12" s="4" t="inlineStr">
        <is>
          <t>説明</t>
        </is>
      </c>
    </row>
    <row r="13">
      <c r="A13" s="5" t="inlineStr">
        <is>
          <t>Cランク</t>
        </is>
      </c>
      <c r="B13" s="9" t="n">
        <v>450</v>
      </c>
      <c r="C13" s="10" t="n">
        <v>450</v>
      </c>
      <c r="D13" s="11">
        <f>C13/10</f>
        <v/>
      </c>
    </row>
    <row r="14">
      <c r="A14" s="5" t="inlineStr">
        <is>
          <t>Bランク</t>
        </is>
      </c>
      <c r="B14" s="9" t="n">
        <v>450</v>
      </c>
      <c r="C14" s="10" t="n">
        <v>450</v>
      </c>
      <c r="D14" s="11">
        <f>C14/10</f>
        <v/>
      </c>
    </row>
    <row r="15">
      <c r="A15" s="5" t="inlineStr">
        <is>
          <t>Aランク</t>
        </is>
      </c>
      <c r="B15" s="9" t="n">
        <v>90</v>
      </c>
      <c r="C15" s="10" t="n">
        <v>90</v>
      </c>
      <c r="D15" s="11">
        <f>C15/10</f>
        <v/>
      </c>
    </row>
    <row r="16">
      <c r="A16" s="5" t="inlineStr">
        <is>
          <t>Sランク</t>
        </is>
      </c>
      <c r="B16" s="9" t="n">
        <v>10</v>
      </c>
      <c r="C16" s="10" t="n">
        <v>10</v>
      </c>
      <c r="D16" s="11">
        <f>C16/10</f>
        <v/>
      </c>
    </row>
    <row r="17">
      <c r="A17" s="5" t="inlineStr">
        <is>
          <t>合計</t>
        </is>
      </c>
      <c r="B17" s="9">
        <f>SUM(B13:B16)</f>
        <v/>
      </c>
      <c r="C17" s="9">
        <f>SUM(C13:C16)</f>
        <v/>
      </c>
      <c r="F17" s="12">
        <f>IF(C17=1000,"OK","★合計が1000ではありません")</f>
        <v/>
      </c>
    </row>
    <row r="19">
      <c r="A19" s="8" t="inlineStr">
        <is>
          <t>■ ガチャ費用</t>
        </is>
      </c>
    </row>
    <row r="20">
      <c r="A20" s="4" t="inlineStr">
        <is>
          <t>項目</t>
        </is>
      </c>
      <c r="B20" s="4" t="inlineStr">
        <is>
          <t>現在</t>
        </is>
      </c>
      <c r="C20" s="4" t="inlineStr">
        <is>
          <t>試す値</t>
        </is>
      </c>
      <c r="D20" s="4" t="inlineStr"/>
      <c r="E20" s="4" t="inlineStr"/>
      <c r="F20" s="4" t="inlineStr">
        <is>
          <t>説明</t>
        </is>
      </c>
    </row>
    <row r="21">
      <c r="A21" s="5" t="inlineStr">
        <is>
          <t>単発の費用（coin）</t>
        </is>
      </c>
      <c r="B21" s="13" t="n">
        <v>30000</v>
      </c>
      <c r="C21" s="14" t="n">
        <v>30000</v>
      </c>
      <c r="F21" s="3" t="inlineStr">
        <is>
          <t>1回引くのにかかるcoin</t>
        </is>
      </c>
    </row>
    <row r="23">
      <c r="A23" s="8" t="inlineStr">
        <is>
          <t>■ 合成1回あたりの成長量（固定値・％の両方を書いておけます）</t>
        </is>
      </c>
    </row>
    <row r="24">
      <c r="A24" s="4" t="inlineStr">
        <is>
          <t>ランク</t>
        </is>
      </c>
      <c r="B24" s="4" t="inlineStr">
        <is>
          <t>固定値 HP</t>
        </is>
      </c>
      <c r="C24" s="4" t="inlineStr">
        <is>
          <t>固定値 ATK</t>
        </is>
      </c>
      <c r="D24" s="4" t="inlineStr">
        <is>
          <t>率 HP</t>
        </is>
      </c>
      <c r="E24" s="4" t="inlineStr">
        <is>
          <t>率 ATK</t>
        </is>
      </c>
      <c r="F24" s="4" t="inlineStr">
        <is>
          <t>説明</t>
        </is>
      </c>
    </row>
    <row r="25">
      <c r="A25" s="5" t="inlineStr">
        <is>
          <t>Cランク</t>
        </is>
      </c>
      <c r="B25" s="10" t="n">
        <v>0</v>
      </c>
      <c r="C25" s="10" t="n">
        <v>0</v>
      </c>
      <c r="D25" s="10" t="n">
        <v>0.05</v>
      </c>
      <c r="E25" s="10" t="n">
        <v>0.05</v>
      </c>
      <c r="F25" s="3" t="inlineStr">
        <is>
          <t>下の「成長のしかた」で、固定値と率のどちらを使うか選びます</t>
        </is>
      </c>
    </row>
    <row r="26">
      <c r="A26" s="5" t="inlineStr">
        <is>
          <t>Bランク</t>
        </is>
      </c>
      <c r="B26" s="10" t="n">
        <v>1</v>
      </c>
      <c r="C26" s="10" t="n">
        <v>0</v>
      </c>
      <c r="D26" s="10" t="n">
        <v>0.05</v>
      </c>
      <c r="E26" s="10" t="n">
        <v>0.05</v>
      </c>
      <c r="F26" s="3" t="inlineStr">
        <is>
          <t>率は 0.05＝5%。0にするとそのランクは合成できません</t>
        </is>
      </c>
    </row>
    <row r="27">
      <c r="A27" s="5" t="inlineStr">
        <is>
          <t>Aランク</t>
        </is>
      </c>
      <c r="B27" s="10" t="n">
        <v>2</v>
      </c>
      <c r="C27" s="10" t="n">
        <v>1</v>
      </c>
      <c r="D27" s="10" t="n">
        <v>0.05</v>
      </c>
      <c r="E27" s="10" t="n">
        <v>0.05</v>
      </c>
    </row>
    <row r="28">
      <c r="A28" s="5" t="inlineStr">
        <is>
          <t>Sランク</t>
        </is>
      </c>
      <c r="B28" s="10" t="n">
        <v>3</v>
      </c>
      <c r="C28" s="10" t="n">
        <v>1</v>
      </c>
      <c r="D28" s="10" t="n">
        <v>0.05</v>
      </c>
      <c r="E28" s="10" t="n">
        <v>0.05</v>
      </c>
    </row>
    <row r="30">
      <c r="A30" s="8" t="inlineStr">
        <is>
          <t>■ 成長の共通設定</t>
        </is>
      </c>
    </row>
    <row r="31">
      <c r="A31" s="4" t="inlineStr">
        <is>
          <t>項目</t>
        </is>
      </c>
      <c r="B31" s="4" t="inlineStr">
        <is>
          <t>現在</t>
        </is>
      </c>
      <c r="C31" s="4" t="inlineStr">
        <is>
          <t>試す値</t>
        </is>
      </c>
      <c r="D31" s="4" t="inlineStr"/>
      <c r="E31" s="4" t="inlineStr"/>
      <c r="F31" s="4" t="inlineStr">
        <is>
          <t>説明</t>
        </is>
      </c>
    </row>
    <row r="32">
      <c r="A32" s="5" t="inlineStr">
        <is>
          <t>最大レベル</t>
        </is>
      </c>
      <c r="B32" s="9" t="n">
        <v>10</v>
      </c>
      <c r="C32" s="10" t="n">
        <v>10</v>
      </c>
      <c r="F32" s="3" t="inlineStr">
        <is>
          <t>下げると必要な体数が一気に減ります</t>
        </is>
      </c>
    </row>
    <row r="33">
      <c r="A33" s="5" t="inlineStr">
        <is>
          <t>1レベルに必要な素材数</t>
        </is>
      </c>
      <c r="B33" s="9" t="n">
        <v>1</v>
      </c>
      <c r="C33" s="10" t="n">
        <v>1</v>
      </c>
      <c r="F33" s="3" t="inlineStr">
        <is>
          <t>必要な体数 =（最大レベル−1）× この数 ＋ 1</t>
        </is>
      </c>
    </row>
    <row r="34">
      <c r="A34" s="5" t="inlineStr">
        <is>
          <t>成長のしかた</t>
        </is>
      </c>
      <c r="B34" s="9" t="inlineStr">
        <is>
          <t>率</t>
        </is>
      </c>
      <c r="C34" s="10" t="inlineStr">
        <is>
          <t>率</t>
        </is>
      </c>
      <c r="F34" s="3" t="inlineStr">
        <is>
          <t>「固定」か「率」と入力してください</t>
        </is>
      </c>
    </row>
    <row r="35">
      <c r="A35" s="5" t="inlineStr">
        <is>
          <t>SPD増加量（1回）</t>
        </is>
      </c>
      <c r="B35" s="9" t="n">
        <v>1</v>
      </c>
      <c r="C35" s="10" t="n">
        <v>1</v>
      </c>
      <c r="F35" s="3" t="inlineStr">
        <is>
          <t>SPDは上限100で頭打ちになります</t>
        </is>
      </c>
    </row>
    <row r="36">
      <c r="A36" s="5" t="inlineStr">
        <is>
          <t>SPDが上がる間隔</t>
        </is>
      </c>
      <c r="B36" s="9" t="n">
        <v>2</v>
      </c>
      <c r="C36" s="10" t="n">
        <v>2</v>
      </c>
      <c r="F36" s="3" t="inlineStr">
        <is>
          <t>2なら Lv1,3,5,7,9 で上がります</t>
        </is>
      </c>
    </row>
    <row r="38">
      <c r="A38" s="8" t="inlineStr">
        <is>
          <t>■ 合成費用</t>
        </is>
      </c>
    </row>
    <row r="39">
      <c r="A39" s="4" t="inlineStr">
        <is>
          <t>項目</t>
        </is>
      </c>
      <c r="B39" s="4" t="inlineStr">
        <is>
          <t>現在</t>
        </is>
      </c>
      <c r="C39" s="4" t="inlineStr">
        <is>
          <t>試す値</t>
        </is>
      </c>
      <c r="D39" s="4" t="inlineStr"/>
      <c r="E39" s="4" t="inlineStr"/>
      <c r="F39" s="4" t="inlineStr">
        <is>
          <t>説明</t>
        </is>
      </c>
    </row>
    <row r="40">
      <c r="A40" s="5" t="inlineStr">
        <is>
          <t>素材1体あたり（売却額比）</t>
        </is>
      </c>
      <c r="B40" s="9" t="n">
        <v>0.5</v>
      </c>
      <c r="C40" s="10" t="n">
        <v>0.5</v>
      </c>
      <c r="F40" s="3" t="inlineStr">
        <is>
          <t>0.5なら売却額の半分。0にすると合成は無料</t>
        </is>
      </c>
    </row>
    <row r="42">
      <c r="A42" s="8" t="inlineStr">
        <is>
          <t>■ 売却額（Lv1）</t>
        </is>
      </c>
    </row>
    <row r="43">
      <c r="A43" s="4" t="inlineStr">
        <is>
          <t>ランク</t>
        </is>
      </c>
      <c r="B43" s="4" t="inlineStr">
        <is>
          <t>現在</t>
        </is>
      </c>
      <c r="C43" s="4" t="inlineStr">
        <is>
          <t>試す値</t>
        </is>
      </c>
      <c r="D43" s="4" t="inlineStr"/>
      <c r="E43" s="4" t="inlineStr"/>
      <c r="F43" s="4" t="inlineStr">
        <is>
          <t>説明</t>
        </is>
      </c>
    </row>
    <row r="44">
      <c r="A44" s="5" t="inlineStr">
        <is>
          <t>Cランク</t>
        </is>
      </c>
      <c r="B44" s="13" t="n">
        <v>2000</v>
      </c>
      <c r="C44" s="14" t="n">
        <v>2000</v>
      </c>
      <c r="F44" s="3" t="inlineStr">
        <is>
          <t>合成費用もこの金額を基準に決まります</t>
        </is>
      </c>
    </row>
    <row r="45">
      <c r="A45" s="5" t="inlineStr">
        <is>
          <t>Bランク</t>
        </is>
      </c>
      <c r="B45" s="13" t="n">
        <v>5000</v>
      </c>
      <c r="C45" s="14" t="n">
        <v>5000</v>
      </c>
    </row>
    <row r="46">
      <c r="A46" s="5" t="inlineStr">
        <is>
          <t>Aランク</t>
        </is>
      </c>
      <c r="B46" s="13" t="n">
        <v>15000</v>
      </c>
      <c r="C46" s="14" t="n">
        <v>15000</v>
      </c>
    </row>
    <row r="47">
      <c r="A47" s="5" t="inlineStr">
        <is>
          <t>Sランク</t>
        </is>
      </c>
      <c r="B47" s="13" t="n">
        <v>50000</v>
      </c>
      <c r="C47" s="14" t="n">
        <v>50000</v>
      </c>
    </row>
    <row r="49">
      <c r="A49" s="8" t="inlineStr">
        <is>
          <t>■ バトルの枠（⑥デッキ試算が使います）</t>
        </is>
      </c>
    </row>
    <row r="50">
      <c r="A50" s="4" t="inlineStr">
        <is>
          <t>項目</t>
        </is>
      </c>
      <c r="B50" s="4" t="inlineStr">
        <is>
          <t>現在</t>
        </is>
      </c>
      <c r="C50" s="4" t="inlineStr">
        <is>
          <t>試す値</t>
        </is>
      </c>
      <c r="D50" s="4" t="inlineStr"/>
      <c r="E50" s="4" t="inlineStr"/>
      <c r="F50" s="4" t="inlineStr">
        <is>
          <t>説明</t>
        </is>
      </c>
    </row>
    <row r="51">
      <c r="A51" s="5" t="inlineStr">
        <is>
          <t>合計COST上限</t>
        </is>
      </c>
      <c r="B51" s="9" t="n">
        <v>20</v>
      </c>
      <c r="C51" s="10" t="n">
        <v>20</v>
      </c>
      <c r="F51" s="3" t="inlineStr">
        <is>
          <t>編成できる合計COST</t>
        </is>
      </c>
    </row>
    <row r="52">
      <c r="A52" s="5" t="inlineStr">
        <is>
          <t>出場できる体数</t>
        </is>
      </c>
      <c r="B52" s="9" t="n">
        <v>5</v>
      </c>
      <c r="C52" s="10" t="n">
        <v>5</v>
      </c>
      <c r="F52" s="3" t="inlineStr">
        <is>
          <t>1ギルドが出せる使い魔の数</t>
        </is>
      </c>
    </row>
  </sheetData>
  <mergeCells count="10">
    <mergeCell ref="A38:F38"/>
    <mergeCell ref="A2:F2"/>
    <mergeCell ref="A11:F11"/>
    <mergeCell ref="A49:F49"/>
    <mergeCell ref="A42:F42"/>
    <mergeCell ref="A19:F19"/>
    <mergeCell ref="A1:F1"/>
    <mergeCell ref="A23:F23"/>
    <mergeCell ref="A3:F3"/>
    <mergeCell ref="A30:F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0" customWidth="1" min="8" max="8"/>
  </cols>
  <sheetData>
    <row r="1" ht="22" customHeight="1">
      <c r="A1" s="1" t="inlineStr">
        <is>
          <t xml:space="preserve">  ④ ガチャ試算　— 単発だけで計算しています</t>
        </is>
      </c>
    </row>
    <row r="2">
      <c r="A2" s="3" t="inlineStr">
        <is>
          <t xml:space="preserve">　　③パラメータを変えると自動で変わります。10連・保証枠は考慮していません。</t>
        </is>
      </c>
    </row>
    <row r="4">
      <c r="A4" s="8" t="inlineStr">
        <is>
          <t>■ 最大レベルに必要な体数</t>
        </is>
      </c>
    </row>
    <row r="5">
      <c r="A5" s="5" t="inlineStr">
        <is>
          <t>必要な体数</t>
        </is>
      </c>
      <c r="B5" s="6">
        <f>('③ パラメータ'!C32-1)*'③ パラメータ'!C33+1</f>
        <v/>
      </c>
      <c r="H5" s="3" t="inlineStr">
        <is>
          <t>（最大レベル−1）× 1レベルの素材数 ＋ 本体1体</t>
        </is>
      </c>
    </row>
    <row r="7">
      <c r="A7" s="8" t="inlineStr">
        <is>
          <t>■ ランクごとの試算</t>
        </is>
      </c>
    </row>
    <row r="8">
      <c r="A8" s="4" t="inlineStr">
        <is>
          <t>ランク</t>
        </is>
      </c>
      <c r="B8" s="4" t="inlineStr">
        <is>
          <t>使い魔の数</t>
        </is>
      </c>
      <c r="C8" s="4" t="inlineStr">
        <is>
          <t>特定1体が出る確率</t>
        </is>
      </c>
      <c r="D8" s="4" t="inlineStr">
        <is>
          <t>1体そろえる単発回数</t>
        </is>
      </c>
      <c r="E8" s="4" t="inlineStr">
        <is>
          <t>最大Lvに必要な単発回数</t>
        </is>
      </c>
      <c r="F8" s="4" t="inlineStr">
        <is>
          <t>ガチャ費用</t>
        </is>
      </c>
      <c r="G8" s="4" t="inlineStr">
        <is>
          <t>合成費用</t>
        </is>
      </c>
      <c r="H8" s="4" t="inlineStr">
        <is>
          <t>合計coin</t>
        </is>
      </c>
    </row>
    <row r="9">
      <c r="A9" s="5" t="inlineStr">
        <is>
          <t>Cランク</t>
        </is>
      </c>
      <c r="B9" s="9">
        <f>'③ パラメータ'!C5</f>
        <v/>
      </c>
      <c r="C9" s="15">
        <f>IF('③ パラメータ'!C5=0,0,'③ パラメータ'!C13/1000/'③ パラメータ'!C5)</f>
        <v/>
      </c>
      <c r="D9" s="13">
        <f>IF(C9=0,"—",1/C9)</f>
        <v/>
      </c>
      <c r="E9" s="13">
        <f>IF(C9=0,"—",$B$5/C9)</f>
        <v/>
      </c>
      <c r="F9" s="13">
        <f>IF(C9=0,"—",E9*'③ パラメータ'!C21)</f>
        <v/>
      </c>
      <c r="G9" s="13">
        <f>($B$5-1)*'③ パラメータ'!C44*'③ パラメータ'!C40</f>
        <v/>
      </c>
      <c r="H9" s="13">
        <f>IF(C9=0,"—",F9+G9)</f>
        <v/>
      </c>
    </row>
    <row r="10">
      <c r="A10" s="5" t="inlineStr">
        <is>
          <t>Bランク</t>
        </is>
      </c>
      <c r="B10" s="9">
        <f>'③ パラメータ'!C6</f>
        <v/>
      </c>
      <c r="C10" s="15">
        <f>IF('③ パラメータ'!C6=0,0,'③ パラメータ'!C14/1000/'③ パラメータ'!C6)</f>
        <v/>
      </c>
      <c r="D10" s="13">
        <f>IF(C10=0,"—",1/C10)</f>
        <v/>
      </c>
      <c r="E10" s="13">
        <f>IF(C10=0,"—",$B$5/C10)</f>
        <v/>
      </c>
      <c r="F10" s="13">
        <f>IF(C10=0,"—",E10*'③ パラメータ'!C21)</f>
        <v/>
      </c>
      <c r="G10" s="13">
        <f>($B$5-1)*'③ パラメータ'!C45*'③ パラメータ'!C40</f>
        <v/>
      </c>
      <c r="H10" s="13">
        <f>IF(C10=0,"—",F10+G10)</f>
        <v/>
      </c>
    </row>
    <row r="11">
      <c r="A11" s="5" t="inlineStr">
        <is>
          <t>Aランク</t>
        </is>
      </c>
      <c r="B11" s="9">
        <f>'③ パラメータ'!C7</f>
        <v/>
      </c>
      <c r="C11" s="15">
        <f>IF('③ パラメータ'!C7=0,0,'③ パラメータ'!C15/1000/'③ パラメータ'!C7)</f>
        <v/>
      </c>
      <c r="D11" s="13">
        <f>IF(C11=0,"—",1/C11)</f>
        <v/>
      </c>
      <c r="E11" s="13">
        <f>IF(C11=0,"—",$B$5/C11)</f>
        <v/>
      </c>
      <c r="F11" s="13">
        <f>IF(C11=0,"—",E11*'③ パラメータ'!C21)</f>
        <v/>
      </c>
      <c r="G11" s="13">
        <f>($B$5-1)*'③ パラメータ'!C46*'③ パラメータ'!C40</f>
        <v/>
      </c>
      <c r="H11" s="13">
        <f>IF(C11=0,"—",F11+G11)</f>
        <v/>
      </c>
    </row>
    <row r="12">
      <c r="A12" s="5" t="inlineStr">
        <is>
          <t>Sランク</t>
        </is>
      </c>
      <c r="B12" s="9">
        <f>'③ パラメータ'!C8</f>
        <v/>
      </c>
      <c r="C12" s="15">
        <f>IF('③ パラメータ'!C8=0,0,'③ パラメータ'!C16/1000/'③ パラメータ'!C8)</f>
        <v/>
      </c>
      <c r="D12" s="13">
        <f>IF(C12=0,"—",1/C12)</f>
        <v/>
      </c>
      <c r="E12" s="13">
        <f>IF(C12=0,"—",$B$5/C12)</f>
        <v/>
      </c>
      <c r="F12" s="13">
        <f>IF(C12=0,"—",E12*'③ パラメータ'!C21)</f>
        <v/>
      </c>
      <c r="G12" s="13">
        <f>($B$5-1)*'③ パラメータ'!C47*'③ パラメータ'!C40</f>
        <v/>
      </c>
      <c r="H12" s="13">
        <f>IF(C12=0,"—",F12+G12)</f>
        <v/>
      </c>
    </row>
    <row r="14">
      <c r="A14" s="8" t="inlineStr">
        <is>
          <t>■ 参考：1体だけ引きたい場合</t>
        </is>
      </c>
    </row>
    <row r="15">
      <c r="A15" s="4" t="inlineStr">
        <is>
          <t>ランク</t>
        </is>
      </c>
      <c r="B15" s="4" t="inlineStr">
        <is>
          <t>そのランクが出る確率</t>
        </is>
      </c>
      <c r="C15" s="4" t="inlineStr">
        <is>
          <t>1体出るまでの単発回数</t>
        </is>
      </c>
      <c r="D15" s="4" t="inlineStr">
        <is>
          <t>そのぶんのcoin</t>
        </is>
      </c>
      <c r="E15" s="4" t="inlineStr"/>
      <c r="F15" s="4" t="inlineStr"/>
      <c r="G15" s="4" t="inlineStr"/>
      <c r="H15" s="4" t="inlineStr"/>
    </row>
    <row r="16">
      <c r="A16" s="5" t="inlineStr">
        <is>
          <t>Cランク</t>
        </is>
      </c>
      <c r="B16" s="16">
        <f>'③ パラメータ'!C13/1000</f>
        <v/>
      </c>
      <c r="C16" s="13">
        <f>IF('③ パラメータ'!C13=0,"—",1000/'③ パラメータ'!C13)</f>
        <v/>
      </c>
      <c r="D16" s="13">
        <f>IF('③ パラメータ'!C13=0,"—",C16*'③ パラメータ'!C21)</f>
        <v/>
      </c>
    </row>
    <row r="17">
      <c r="A17" s="5" t="inlineStr">
        <is>
          <t>Bランク</t>
        </is>
      </c>
      <c r="B17" s="16">
        <f>'③ パラメータ'!C14/1000</f>
        <v/>
      </c>
      <c r="C17" s="13">
        <f>IF('③ パラメータ'!C14=0,"—",1000/'③ パラメータ'!C14)</f>
        <v/>
      </c>
      <c r="D17" s="13">
        <f>IF('③ パラメータ'!C14=0,"—",C17*'③ パラメータ'!C21)</f>
        <v/>
      </c>
    </row>
    <row r="18">
      <c r="A18" s="5" t="inlineStr">
        <is>
          <t>Aランク</t>
        </is>
      </c>
      <c r="B18" s="16">
        <f>'③ パラメータ'!C15/1000</f>
        <v/>
      </c>
      <c r="C18" s="13">
        <f>IF('③ パラメータ'!C15=0,"—",1000/'③ パラメータ'!C15)</f>
        <v/>
      </c>
      <c r="D18" s="13">
        <f>IF('③ パラメータ'!C15=0,"—",C18*'③ パラメータ'!C21)</f>
        <v/>
      </c>
    </row>
    <row r="19">
      <c r="A19" s="5" t="inlineStr">
        <is>
          <t>Sランク</t>
        </is>
      </c>
      <c r="B19" s="16">
        <f>'③ パラメータ'!C16/1000</f>
        <v/>
      </c>
      <c r="C19" s="13">
        <f>IF('③ パラメータ'!C16=0,"—",1000/'③ パラメータ'!C16)</f>
        <v/>
      </c>
      <c r="D19" s="13">
        <f>IF('③ パラメータ'!C16=0,"—",C19*'③ パラメータ'!C21)</f>
        <v/>
      </c>
    </row>
  </sheetData>
  <mergeCells count="5">
    <mergeCell ref="A4:H4"/>
    <mergeCell ref="A7:H7"/>
    <mergeCell ref="A2:H2"/>
    <mergeCell ref="A14:H1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1" t="inlineStr">
        <is>
          <t xml:space="preserve">  ⑤ 成長試算　— ランクごとの平均能力値を Lv1〜Lv10 で並べたもの</t>
        </is>
      </c>
    </row>
    <row r="2">
      <c r="A2" s="3" t="inlineStr">
        <is>
          <t xml:space="preserve">　　「素の値」はそのランクの平均です。③パラメータの成長設定を変えると全部動きます。</t>
        </is>
      </c>
    </row>
    <row r="3">
      <c r="A3" s="3" t="inlineStr">
        <is>
          <t xml:space="preserve">　　※ Lv1の時点で既に1回ぶん成長しています（能力値＝素の値×(1+成長率×レベル)）。</t>
        </is>
      </c>
    </row>
    <row r="4">
      <c r="A4" s="4" t="inlineStr">
        <is>
          <t>ランク</t>
        </is>
      </c>
      <c r="B4" s="4" t="inlineStr">
        <is>
          <t>項目</t>
        </is>
      </c>
      <c r="C4" s="4" t="inlineStr">
        <is>
          <t>素の値(Lv0)</t>
        </is>
      </c>
      <c r="D4" s="4" t="inlineStr">
        <is>
          <t>Lv1</t>
        </is>
      </c>
      <c r="E4" s="4" t="inlineStr">
        <is>
          <t>Lv2</t>
        </is>
      </c>
      <c r="F4" s="4" t="inlineStr">
        <is>
          <t>Lv3</t>
        </is>
      </c>
      <c r="G4" s="4" t="inlineStr">
        <is>
          <t>Lv4</t>
        </is>
      </c>
      <c r="H4" s="4" t="inlineStr">
        <is>
          <t>Lv5</t>
        </is>
      </c>
      <c r="I4" s="4" t="inlineStr">
        <is>
          <t>Lv6</t>
        </is>
      </c>
      <c r="J4" s="4" t="inlineStr">
        <is>
          <t>Lv7</t>
        </is>
      </c>
      <c r="K4" s="4" t="inlineStr">
        <is>
          <t>Lv8</t>
        </is>
      </c>
      <c r="L4" s="4" t="inlineStr">
        <is>
          <t>Lv9</t>
        </is>
      </c>
      <c r="M4" s="4" t="inlineStr">
        <is>
          <t>Lv10</t>
        </is>
      </c>
      <c r="N4" s="4" t="inlineStr">
        <is>
          <t>Lv1→Lv10</t>
        </is>
      </c>
    </row>
    <row r="5">
      <c r="A5" s="5" t="inlineStr">
        <is>
          <t>Cランク</t>
        </is>
      </c>
      <c r="B5" s="5" t="inlineStr">
        <is>
          <t>HP</t>
        </is>
      </c>
      <c r="C5" s="17" t="n">
        <v>25.2</v>
      </c>
      <c r="D5" s="18">
        <f>IF(1&gt;'③ パラメータ'!C32,"—",ROUND(IF('③ パラメータ'!C34="固定",$C5+'③ パラメータ'!B25*(1),$C5*(1+'③ パラメータ'!D25*(1))),0))</f>
        <v/>
      </c>
      <c r="E5" s="18">
        <f>IF(2&gt;'③ パラメータ'!C32,"—",ROUND(IF('③ パラメータ'!C34="固定",$C5+'③ パラメータ'!B25*(2),$C5*(1+'③ パラメータ'!D25*(2))),0))</f>
        <v/>
      </c>
      <c r="F5" s="18">
        <f>IF(3&gt;'③ パラメータ'!C32,"—",ROUND(IF('③ パラメータ'!C34="固定",$C5+'③ パラメータ'!B25*(3),$C5*(1+'③ パラメータ'!D25*(3))),0))</f>
        <v/>
      </c>
      <c r="G5" s="18">
        <f>IF(4&gt;'③ パラメータ'!C32,"—",ROUND(IF('③ パラメータ'!C34="固定",$C5+'③ パラメータ'!B25*(4),$C5*(1+'③ パラメータ'!D25*(4))),0))</f>
        <v/>
      </c>
      <c r="H5" s="18">
        <f>IF(5&gt;'③ パラメータ'!C32,"—",ROUND(IF('③ パラメータ'!C34="固定",$C5+'③ パラメータ'!B25*(5),$C5*(1+'③ パラメータ'!D25*(5))),0))</f>
        <v/>
      </c>
      <c r="I5" s="18">
        <f>IF(6&gt;'③ パラメータ'!C32,"—",ROUND(IF('③ パラメータ'!C34="固定",$C5+'③ パラメータ'!B25*(6),$C5*(1+'③ パラメータ'!D25*(6))),0))</f>
        <v/>
      </c>
      <c r="J5" s="18">
        <f>IF(7&gt;'③ パラメータ'!C32,"—",ROUND(IF('③ パラメータ'!C34="固定",$C5+'③ パラメータ'!B25*(7),$C5*(1+'③ パラメータ'!D25*(7))),0))</f>
        <v/>
      </c>
      <c r="K5" s="18">
        <f>IF(8&gt;'③ パラメータ'!C32,"—",ROUND(IF('③ パラメータ'!C34="固定",$C5+'③ パラメータ'!B25*(8),$C5*(1+'③ パラメータ'!D25*(8))),0))</f>
        <v/>
      </c>
      <c r="L5" s="18">
        <f>IF(9&gt;'③ パラメータ'!C32,"—",ROUND(IF('③ パラメータ'!C34="固定",$C5+'③ パラメータ'!B25*(9),$C5*(1+'③ パラメータ'!D25*(9))),0))</f>
        <v/>
      </c>
      <c r="M5" s="18">
        <f>IF(10&gt;'③ パラメータ'!C32,"—",ROUND(IF('③ パラメータ'!C34="固定",$C5+'③ パラメータ'!B25*(10),$C5*(1+'③ パラメータ'!D25*(10))),0))</f>
        <v/>
      </c>
      <c r="N5" s="19">
        <f>IF(M5="—","—",M5/D5)</f>
        <v/>
      </c>
    </row>
    <row r="6">
      <c r="A6" s="5" t="inlineStr"/>
      <c r="B6" s="5" t="inlineStr">
        <is>
          <t>ATK</t>
        </is>
      </c>
      <c r="C6" s="17" t="n">
        <v>5.7</v>
      </c>
      <c r="D6" s="18">
        <f>IF(1&gt;'③ パラメータ'!C32,"—",ROUND(IF('③ パラメータ'!C34="固定",$C6+'③ パラメータ'!C25*(1),$C6*(1+'③ パラメータ'!E25*(1))),0))</f>
        <v/>
      </c>
      <c r="E6" s="18">
        <f>IF(2&gt;'③ パラメータ'!C32,"—",ROUND(IF('③ パラメータ'!C34="固定",$C6+'③ パラメータ'!C25*(2),$C6*(1+'③ パラメータ'!E25*(2))),0))</f>
        <v/>
      </c>
      <c r="F6" s="18">
        <f>IF(3&gt;'③ パラメータ'!C32,"—",ROUND(IF('③ パラメータ'!C34="固定",$C6+'③ パラメータ'!C25*(3),$C6*(1+'③ パラメータ'!E25*(3))),0))</f>
        <v/>
      </c>
      <c r="G6" s="18">
        <f>IF(4&gt;'③ パラメータ'!C32,"—",ROUND(IF('③ パラメータ'!C34="固定",$C6+'③ パラメータ'!C25*(4),$C6*(1+'③ パラメータ'!E25*(4))),0))</f>
        <v/>
      </c>
      <c r="H6" s="18">
        <f>IF(5&gt;'③ パラメータ'!C32,"—",ROUND(IF('③ パラメータ'!C34="固定",$C6+'③ パラメータ'!C25*(5),$C6*(1+'③ パラメータ'!E25*(5))),0))</f>
        <v/>
      </c>
      <c r="I6" s="18">
        <f>IF(6&gt;'③ パラメータ'!C32,"—",ROUND(IF('③ パラメータ'!C34="固定",$C6+'③ パラメータ'!C25*(6),$C6*(1+'③ パラメータ'!E25*(6))),0))</f>
        <v/>
      </c>
      <c r="J6" s="18">
        <f>IF(7&gt;'③ パラメータ'!C32,"—",ROUND(IF('③ パラメータ'!C34="固定",$C6+'③ パラメータ'!C25*(7),$C6*(1+'③ パラメータ'!E25*(7))),0))</f>
        <v/>
      </c>
      <c r="K6" s="18">
        <f>IF(8&gt;'③ パラメータ'!C32,"—",ROUND(IF('③ パラメータ'!C34="固定",$C6+'③ パラメータ'!C25*(8),$C6*(1+'③ パラメータ'!E25*(8))),0))</f>
        <v/>
      </c>
      <c r="L6" s="18">
        <f>IF(9&gt;'③ パラメータ'!C32,"—",ROUND(IF('③ パラメータ'!C34="固定",$C6+'③ パラメータ'!C25*(9),$C6*(1+'③ パラメータ'!E25*(9))),0))</f>
        <v/>
      </c>
      <c r="M6" s="18">
        <f>IF(10&gt;'③ パラメータ'!C32,"—",ROUND(IF('③ パラメータ'!C34="固定",$C6+'③ パラメータ'!C25*(10),$C6*(1+'③ パラメータ'!E25*(10))),0))</f>
        <v/>
      </c>
      <c r="N6" s="19">
        <f>IF(M6="—","—",M6/D6)</f>
        <v/>
      </c>
    </row>
    <row r="7">
      <c r="A7" s="5" t="inlineStr"/>
      <c r="B7" s="5" t="inlineStr">
        <is>
          <t>SPD</t>
        </is>
      </c>
      <c r="C7" s="17" t="n">
        <v>49</v>
      </c>
      <c r="D7" s="6">
        <f>IF(1&gt;'③ パラメータ'!C32,"—",MIN(100,$C7+(INT((1-1)/'③ パラメータ'!C36)+1)*'③ パラメータ'!C35))</f>
        <v/>
      </c>
      <c r="E7" s="6">
        <f>IF(2&gt;'③ パラメータ'!C32,"—",MIN(100,$C7+(INT((2-1)/'③ パラメータ'!C36)+1)*'③ パラメータ'!C35))</f>
        <v/>
      </c>
      <c r="F7" s="6">
        <f>IF(3&gt;'③ パラメータ'!C32,"—",MIN(100,$C7+(INT((3-1)/'③ パラメータ'!C36)+1)*'③ パラメータ'!C35))</f>
        <v/>
      </c>
      <c r="G7" s="6">
        <f>IF(4&gt;'③ パラメータ'!C32,"—",MIN(100,$C7+(INT((4-1)/'③ パラメータ'!C36)+1)*'③ パラメータ'!C35))</f>
        <v/>
      </c>
      <c r="H7" s="6">
        <f>IF(5&gt;'③ パラメータ'!C32,"—",MIN(100,$C7+(INT((5-1)/'③ パラメータ'!C36)+1)*'③ パラメータ'!C35))</f>
        <v/>
      </c>
      <c r="I7" s="6">
        <f>IF(6&gt;'③ パラメータ'!C32,"—",MIN(100,$C7+(INT((6-1)/'③ パラメータ'!C36)+1)*'③ パラメータ'!C35))</f>
        <v/>
      </c>
      <c r="J7" s="6">
        <f>IF(7&gt;'③ パラメータ'!C32,"—",MIN(100,$C7+(INT((7-1)/'③ パラメータ'!C36)+1)*'③ パラメータ'!C35))</f>
        <v/>
      </c>
      <c r="K7" s="6">
        <f>IF(8&gt;'③ パラメータ'!C32,"—",MIN(100,$C7+(INT((8-1)/'③ パラメータ'!C36)+1)*'③ パラメータ'!C35))</f>
        <v/>
      </c>
      <c r="L7" s="6">
        <f>IF(9&gt;'③ パラメータ'!C32,"—",MIN(100,$C7+(INT((9-1)/'③ パラメータ'!C36)+1)*'③ パラメータ'!C35))</f>
        <v/>
      </c>
      <c r="M7" s="6">
        <f>IF(10&gt;'③ パラメータ'!C32,"—",MIN(100,$C7+(INT((10-1)/'③ パラメータ'!C36)+1)*'③ パラメータ'!C35))</f>
        <v/>
      </c>
      <c r="N7" s="19">
        <f>IF(M7="—","—",M7/D7)</f>
        <v/>
      </c>
    </row>
    <row r="8">
      <c r="A8" s="5" t="inlineStr">
        <is>
          <t>Bランク</t>
        </is>
      </c>
      <c r="B8" s="5" t="inlineStr">
        <is>
          <t>HP</t>
        </is>
      </c>
      <c r="C8" s="17" t="n">
        <v>29.6</v>
      </c>
      <c r="D8" s="18">
        <f>IF(1&gt;'③ パラメータ'!C32,"—",ROUND(IF('③ パラメータ'!C34="固定",$C8+'③ パラメータ'!B26*(1),$C8*(1+'③ パラメータ'!D26*(1))),0))</f>
        <v/>
      </c>
      <c r="E8" s="18">
        <f>IF(2&gt;'③ パラメータ'!C32,"—",ROUND(IF('③ パラメータ'!C34="固定",$C8+'③ パラメータ'!B26*(2),$C8*(1+'③ パラメータ'!D26*(2))),0))</f>
        <v/>
      </c>
      <c r="F8" s="18">
        <f>IF(3&gt;'③ パラメータ'!C32,"—",ROUND(IF('③ パラメータ'!C34="固定",$C8+'③ パラメータ'!B26*(3),$C8*(1+'③ パラメータ'!D26*(3))),0))</f>
        <v/>
      </c>
      <c r="G8" s="18">
        <f>IF(4&gt;'③ パラメータ'!C32,"—",ROUND(IF('③ パラメータ'!C34="固定",$C8+'③ パラメータ'!B26*(4),$C8*(1+'③ パラメータ'!D26*(4))),0))</f>
        <v/>
      </c>
      <c r="H8" s="18">
        <f>IF(5&gt;'③ パラメータ'!C32,"—",ROUND(IF('③ パラメータ'!C34="固定",$C8+'③ パラメータ'!B26*(5),$C8*(1+'③ パラメータ'!D26*(5))),0))</f>
        <v/>
      </c>
      <c r="I8" s="18">
        <f>IF(6&gt;'③ パラメータ'!C32,"—",ROUND(IF('③ パラメータ'!C34="固定",$C8+'③ パラメータ'!B26*(6),$C8*(1+'③ パラメータ'!D26*(6))),0))</f>
        <v/>
      </c>
      <c r="J8" s="18">
        <f>IF(7&gt;'③ パラメータ'!C32,"—",ROUND(IF('③ パラメータ'!C34="固定",$C8+'③ パラメータ'!B26*(7),$C8*(1+'③ パラメータ'!D26*(7))),0))</f>
        <v/>
      </c>
      <c r="K8" s="18">
        <f>IF(8&gt;'③ パラメータ'!C32,"—",ROUND(IF('③ パラメータ'!C34="固定",$C8+'③ パラメータ'!B26*(8),$C8*(1+'③ パラメータ'!D26*(8))),0))</f>
        <v/>
      </c>
      <c r="L8" s="18">
        <f>IF(9&gt;'③ パラメータ'!C32,"—",ROUND(IF('③ パラメータ'!C34="固定",$C8+'③ パラメータ'!B26*(9),$C8*(1+'③ パラメータ'!D26*(9))),0))</f>
        <v/>
      </c>
      <c r="M8" s="18">
        <f>IF(10&gt;'③ パラメータ'!C32,"—",ROUND(IF('③ パラメータ'!C34="固定",$C8+'③ パラメータ'!B26*(10),$C8*(1+'③ パラメータ'!D26*(10))),0))</f>
        <v/>
      </c>
      <c r="N8" s="19">
        <f>IF(M8="—","—",M8/D8)</f>
        <v/>
      </c>
    </row>
    <row r="9">
      <c r="A9" s="5" t="inlineStr"/>
      <c r="B9" s="5" t="inlineStr">
        <is>
          <t>ATK</t>
        </is>
      </c>
      <c r="C9" s="17" t="n">
        <v>7</v>
      </c>
      <c r="D9" s="18">
        <f>IF(1&gt;'③ パラメータ'!C32,"—",ROUND(IF('③ パラメータ'!C34="固定",$C9+'③ パラメータ'!C26*(1),$C9*(1+'③ パラメータ'!E26*(1))),0))</f>
        <v/>
      </c>
      <c r="E9" s="18">
        <f>IF(2&gt;'③ パラメータ'!C32,"—",ROUND(IF('③ パラメータ'!C34="固定",$C9+'③ パラメータ'!C26*(2),$C9*(1+'③ パラメータ'!E26*(2))),0))</f>
        <v/>
      </c>
      <c r="F9" s="18">
        <f>IF(3&gt;'③ パラメータ'!C32,"—",ROUND(IF('③ パラメータ'!C34="固定",$C9+'③ パラメータ'!C26*(3),$C9*(1+'③ パラメータ'!E26*(3))),0))</f>
        <v/>
      </c>
      <c r="G9" s="18">
        <f>IF(4&gt;'③ パラメータ'!C32,"—",ROUND(IF('③ パラメータ'!C34="固定",$C9+'③ パラメータ'!C26*(4),$C9*(1+'③ パラメータ'!E26*(4))),0))</f>
        <v/>
      </c>
      <c r="H9" s="18">
        <f>IF(5&gt;'③ パラメータ'!C32,"—",ROUND(IF('③ パラメータ'!C34="固定",$C9+'③ パラメータ'!C26*(5),$C9*(1+'③ パラメータ'!E26*(5))),0))</f>
        <v/>
      </c>
      <c r="I9" s="18">
        <f>IF(6&gt;'③ パラメータ'!C32,"—",ROUND(IF('③ パラメータ'!C34="固定",$C9+'③ パラメータ'!C26*(6),$C9*(1+'③ パラメータ'!E26*(6))),0))</f>
        <v/>
      </c>
      <c r="J9" s="18">
        <f>IF(7&gt;'③ パラメータ'!C32,"—",ROUND(IF('③ パラメータ'!C34="固定",$C9+'③ パラメータ'!C26*(7),$C9*(1+'③ パラメータ'!E26*(7))),0))</f>
        <v/>
      </c>
      <c r="K9" s="18">
        <f>IF(8&gt;'③ パラメータ'!C32,"—",ROUND(IF('③ パラメータ'!C34="固定",$C9+'③ パラメータ'!C26*(8),$C9*(1+'③ パラメータ'!E26*(8))),0))</f>
        <v/>
      </c>
      <c r="L9" s="18">
        <f>IF(9&gt;'③ パラメータ'!C32,"—",ROUND(IF('③ パラメータ'!C34="固定",$C9+'③ パラメータ'!C26*(9),$C9*(1+'③ パラメータ'!E26*(9))),0))</f>
        <v/>
      </c>
      <c r="M9" s="18">
        <f>IF(10&gt;'③ パラメータ'!C32,"—",ROUND(IF('③ パラメータ'!C34="固定",$C9+'③ パラメータ'!C26*(10),$C9*(1+'③ パラメータ'!E26*(10))),0))</f>
        <v/>
      </c>
      <c r="N9" s="19">
        <f>IF(M9="—","—",M9/D9)</f>
        <v/>
      </c>
    </row>
    <row r="10">
      <c r="A10" s="5" t="inlineStr"/>
      <c r="B10" s="5" t="inlineStr">
        <is>
          <t>SPD</t>
        </is>
      </c>
      <c r="C10" s="17" t="n">
        <v>55.7</v>
      </c>
      <c r="D10" s="6">
        <f>IF(1&gt;'③ パラメータ'!C32,"—",MIN(100,$C10+(INT((1-1)/'③ パラメータ'!C36)+1)*'③ パラメータ'!C35))</f>
        <v/>
      </c>
      <c r="E10" s="6">
        <f>IF(2&gt;'③ パラメータ'!C32,"—",MIN(100,$C10+(INT((2-1)/'③ パラメータ'!C36)+1)*'③ パラメータ'!C35))</f>
        <v/>
      </c>
      <c r="F10" s="6">
        <f>IF(3&gt;'③ パラメータ'!C32,"—",MIN(100,$C10+(INT((3-1)/'③ パラメータ'!C36)+1)*'③ パラメータ'!C35))</f>
        <v/>
      </c>
      <c r="G10" s="6">
        <f>IF(4&gt;'③ パラメータ'!C32,"—",MIN(100,$C10+(INT((4-1)/'③ パラメータ'!C36)+1)*'③ パラメータ'!C35))</f>
        <v/>
      </c>
      <c r="H10" s="6">
        <f>IF(5&gt;'③ パラメータ'!C32,"—",MIN(100,$C10+(INT((5-1)/'③ パラメータ'!C36)+1)*'③ パラメータ'!C35))</f>
        <v/>
      </c>
      <c r="I10" s="6">
        <f>IF(6&gt;'③ パラメータ'!C32,"—",MIN(100,$C10+(INT((6-1)/'③ パラメータ'!C36)+1)*'③ パラメータ'!C35))</f>
        <v/>
      </c>
      <c r="J10" s="6">
        <f>IF(7&gt;'③ パラメータ'!C32,"—",MIN(100,$C10+(INT((7-1)/'③ パラメータ'!C36)+1)*'③ パラメータ'!C35))</f>
        <v/>
      </c>
      <c r="K10" s="6">
        <f>IF(8&gt;'③ パラメータ'!C32,"—",MIN(100,$C10+(INT((8-1)/'③ パラメータ'!C36)+1)*'③ パラメータ'!C35))</f>
        <v/>
      </c>
      <c r="L10" s="6">
        <f>IF(9&gt;'③ パラメータ'!C32,"—",MIN(100,$C10+(INT((9-1)/'③ パラメータ'!C36)+1)*'③ パラメータ'!C35))</f>
        <v/>
      </c>
      <c r="M10" s="6">
        <f>IF(10&gt;'③ パラメータ'!C32,"—",MIN(100,$C10+(INT((10-1)/'③ パラメータ'!C36)+1)*'③ パラメータ'!C35))</f>
        <v/>
      </c>
      <c r="N10" s="19">
        <f>IF(M10="—","—",M10/D10)</f>
        <v/>
      </c>
    </row>
    <row r="11">
      <c r="A11" s="5" t="inlineStr">
        <is>
          <t>Aランク</t>
        </is>
      </c>
      <c r="B11" s="5" t="inlineStr">
        <is>
          <t>HP</t>
        </is>
      </c>
      <c r="C11" s="17" t="n">
        <v>37.1</v>
      </c>
      <c r="D11" s="18">
        <f>IF(1&gt;'③ パラメータ'!C32,"—",ROUND(IF('③ パラメータ'!C34="固定",$C11+'③ パラメータ'!B27*(1),$C11*(1+'③ パラメータ'!D27*(1))),0))</f>
        <v/>
      </c>
      <c r="E11" s="18">
        <f>IF(2&gt;'③ パラメータ'!C32,"—",ROUND(IF('③ パラメータ'!C34="固定",$C11+'③ パラメータ'!B27*(2),$C11*(1+'③ パラメータ'!D27*(2))),0))</f>
        <v/>
      </c>
      <c r="F11" s="18">
        <f>IF(3&gt;'③ パラメータ'!C32,"—",ROUND(IF('③ パラメータ'!C34="固定",$C11+'③ パラメータ'!B27*(3),$C11*(1+'③ パラメータ'!D27*(3))),0))</f>
        <v/>
      </c>
      <c r="G11" s="18">
        <f>IF(4&gt;'③ パラメータ'!C32,"—",ROUND(IF('③ パラメータ'!C34="固定",$C11+'③ パラメータ'!B27*(4),$C11*(1+'③ パラメータ'!D27*(4))),0))</f>
        <v/>
      </c>
      <c r="H11" s="18">
        <f>IF(5&gt;'③ パラメータ'!C32,"—",ROUND(IF('③ パラメータ'!C34="固定",$C11+'③ パラメータ'!B27*(5),$C11*(1+'③ パラメータ'!D27*(5))),0))</f>
        <v/>
      </c>
      <c r="I11" s="18">
        <f>IF(6&gt;'③ パラメータ'!C32,"—",ROUND(IF('③ パラメータ'!C34="固定",$C11+'③ パラメータ'!B27*(6),$C11*(1+'③ パラメータ'!D27*(6))),0))</f>
        <v/>
      </c>
      <c r="J11" s="18">
        <f>IF(7&gt;'③ パラメータ'!C32,"—",ROUND(IF('③ パラメータ'!C34="固定",$C11+'③ パラメータ'!B27*(7),$C11*(1+'③ パラメータ'!D27*(7))),0))</f>
        <v/>
      </c>
      <c r="K11" s="18">
        <f>IF(8&gt;'③ パラメータ'!C32,"—",ROUND(IF('③ パラメータ'!C34="固定",$C11+'③ パラメータ'!B27*(8),$C11*(1+'③ パラメータ'!D27*(8))),0))</f>
        <v/>
      </c>
      <c r="L11" s="18">
        <f>IF(9&gt;'③ パラメータ'!C32,"—",ROUND(IF('③ パラメータ'!C34="固定",$C11+'③ パラメータ'!B27*(9),$C11*(1+'③ パラメータ'!D27*(9))),0))</f>
        <v/>
      </c>
      <c r="M11" s="18">
        <f>IF(10&gt;'③ パラメータ'!C32,"—",ROUND(IF('③ パラメータ'!C34="固定",$C11+'③ パラメータ'!B27*(10),$C11*(1+'③ パラメータ'!D27*(10))),0))</f>
        <v/>
      </c>
      <c r="N11" s="19">
        <f>IF(M11="—","—",M11/D11)</f>
        <v/>
      </c>
    </row>
    <row r="12">
      <c r="A12" s="5" t="inlineStr"/>
      <c r="B12" s="5" t="inlineStr">
        <is>
          <t>ATK</t>
        </is>
      </c>
      <c r="C12" s="17" t="n">
        <v>8.6</v>
      </c>
      <c r="D12" s="18">
        <f>IF(1&gt;'③ パラメータ'!C32,"—",ROUND(IF('③ パラメータ'!C34="固定",$C12+'③ パラメータ'!C27*(1),$C12*(1+'③ パラメータ'!E27*(1))),0))</f>
        <v/>
      </c>
      <c r="E12" s="18">
        <f>IF(2&gt;'③ パラメータ'!C32,"—",ROUND(IF('③ パラメータ'!C34="固定",$C12+'③ パラメータ'!C27*(2),$C12*(1+'③ パラメータ'!E27*(2))),0))</f>
        <v/>
      </c>
      <c r="F12" s="18">
        <f>IF(3&gt;'③ パラメータ'!C32,"—",ROUND(IF('③ パラメータ'!C34="固定",$C12+'③ パラメータ'!C27*(3),$C12*(1+'③ パラメータ'!E27*(3))),0))</f>
        <v/>
      </c>
      <c r="G12" s="18">
        <f>IF(4&gt;'③ パラメータ'!C32,"—",ROUND(IF('③ パラメータ'!C34="固定",$C12+'③ パラメータ'!C27*(4),$C12*(1+'③ パラメータ'!E27*(4))),0))</f>
        <v/>
      </c>
      <c r="H12" s="18">
        <f>IF(5&gt;'③ パラメータ'!C32,"—",ROUND(IF('③ パラメータ'!C34="固定",$C12+'③ パラメータ'!C27*(5),$C12*(1+'③ パラメータ'!E27*(5))),0))</f>
        <v/>
      </c>
      <c r="I12" s="18">
        <f>IF(6&gt;'③ パラメータ'!C32,"—",ROUND(IF('③ パラメータ'!C34="固定",$C12+'③ パラメータ'!C27*(6),$C12*(1+'③ パラメータ'!E27*(6))),0))</f>
        <v/>
      </c>
      <c r="J12" s="18">
        <f>IF(7&gt;'③ パラメータ'!C32,"—",ROUND(IF('③ パラメータ'!C34="固定",$C12+'③ パラメータ'!C27*(7),$C12*(1+'③ パラメータ'!E27*(7))),0))</f>
        <v/>
      </c>
      <c r="K12" s="18">
        <f>IF(8&gt;'③ パラメータ'!C32,"—",ROUND(IF('③ パラメータ'!C34="固定",$C12+'③ パラメータ'!C27*(8),$C12*(1+'③ パラメータ'!E27*(8))),0))</f>
        <v/>
      </c>
      <c r="L12" s="18">
        <f>IF(9&gt;'③ パラメータ'!C32,"—",ROUND(IF('③ パラメータ'!C34="固定",$C12+'③ パラメータ'!C27*(9),$C12*(1+'③ パラメータ'!E27*(9))),0))</f>
        <v/>
      </c>
      <c r="M12" s="18">
        <f>IF(10&gt;'③ パラメータ'!C32,"—",ROUND(IF('③ パラメータ'!C34="固定",$C12+'③ パラメータ'!C27*(10),$C12*(1+'③ パラメータ'!E27*(10))),0))</f>
        <v/>
      </c>
      <c r="N12" s="19">
        <f>IF(M12="—","—",M12/D12)</f>
        <v/>
      </c>
    </row>
    <row r="13">
      <c r="A13" s="5" t="inlineStr"/>
      <c r="B13" s="5" t="inlineStr">
        <is>
          <t>SPD</t>
        </is>
      </c>
      <c r="C13" s="17" t="n">
        <v>60.7</v>
      </c>
      <c r="D13" s="6">
        <f>IF(1&gt;'③ パラメータ'!C32,"—",MIN(100,$C13+(INT((1-1)/'③ パラメータ'!C36)+1)*'③ パラメータ'!C35))</f>
        <v/>
      </c>
      <c r="E13" s="6">
        <f>IF(2&gt;'③ パラメータ'!C32,"—",MIN(100,$C13+(INT((2-1)/'③ パラメータ'!C36)+1)*'③ パラメータ'!C35))</f>
        <v/>
      </c>
      <c r="F13" s="6">
        <f>IF(3&gt;'③ パラメータ'!C32,"—",MIN(100,$C13+(INT((3-1)/'③ パラメータ'!C36)+1)*'③ パラメータ'!C35))</f>
        <v/>
      </c>
      <c r="G13" s="6">
        <f>IF(4&gt;'③ パラメータ'!C32,"—",MIN(100,$C13+(INT((4-1)/'③ パラメータ'!C36)+1)*'③ パラメータ'!C35))</f>
        <v/>
      </c>
      <c r="H13" s="6">
        <f>IF(5&gt;'③ パラメータ'!C32,"—",MIN(100,$C13+(INT((5-1)/'③ パラメータ'!C36)+1)*'③ パラメータ'!C35))</f>
        <v/>
      </c>
      <c r="I13" s="6">
        <f>IF(6&gt;'③ パラメータ'!C32,"—",MIN(100,$C13+(INT((6-1)/'③ パラメータ'!C36)+1)*'③ パラメータ'!C35))</f>
        <v/>
      </c>
      <c r="J13" s="6">
        <f>IF(7&gt;'③ パラメータ'!C32,"—",MIN(100,$C13+(INT((7-1)/'③ パラメータ'!C36)+1)*'③ パラメータ'!C35))</f>
        <v/>
      </c>
      <c r="K13" s="6">
        <f>IF(8&gt;'③ パラメータ'!C32,"—",MIN(100,$C13+(INT((8-1)/'③ パラメータ'!C36)+1)*'③ パラメータ'!C35))</f>
        <v/>
      </c>
      <c r="L13" s="6">
        <f>IF(9&gt;'③ パラメータ'!C32,"—",MIN(100,$C13+(INT((9-1)/'③ パラメータ'!C36)+1)*'③ パラメータ'!C35))</f>
        <v/>
      </c>
      <c r="M13" s="6">
        <f>IF(10&gt;'③ パラメータ'!C32,"—",MIN(100,$C13+(INT((10-1)/'③ パラメータ'!C36)+1)*'③ パラメータ'!C35))</f>
        <v/>
      </c>
      <c r="N13" s="19">
        <f>IF(M13="—","—",M13/D13)</f>
        <v/>
      </c>
    </row>
    <row r="14">
      <c r="A14" s="5" t="inlineStr">
        <is>
          <t>Sランク</t>
        </is>
      </c>
      <c r="B14" s="5" t="inlineStr">
        <is>
          <t>HP</t>
        </is>
      </c>
      <c r="C14" s="17" t="n">
        <v>46.4</v>
      </c>
      <c r="D14" s="18">
        <f>IF(1&gt;'③ パラメータ'!C32,"—",ROUND(IF('③ パラメータ'!C34="固定",$C14+'③ パラメータ'!B28*(1),$C14*(1+'③ パラメータ'!D28*(1))),0))</f>
        <v/>
      </c>
      <c r="E14" s="18">
        <f>IF(2&gt;'③ パラメータ'!C32,"—",ROUND(IF('③ パラメータ'!C34="固定",$C14+'③ パラメータ'!B28*(2),$C14*(1+'③ パラメータ'!D28*(2))),0))</f>
        <v/>
      </c>
      <c r="F14" s="18">
        <f>IF(3&gt;'③ パラメータ'!C32,"—",ROUND(IF('③ パラメータ'!C34="固定",$C14+'③ パラメータ'!B28*(3),$C14*(1+'③ パラメータ'!D28*(3))),0))</f>
        <v/>
      </c>
      <c r="G14" s="18">
        <f>IF(4&gt;'③ パラメータ'!C32,"—",ROUND(IF('③ パラメータ'!C34="固定",$C14+'③ パラメータ'!B28*(4),$C14*(1+'③ パラメータ'!D28*(4))),0))</f>
        <v/>
      </c>
      <c r="H14" s="18">
        <f>IF(5&gt;'③ パラメータ'!C32,"—",ROUND(IF('③ パラメータ'!C34="固定",$C14+'③ パラメータ'!B28*(5),$C14*(1+'③ パラメータ'!D28*(5))),0))</f>
        <v/>
      </c>
      <c r="I14" s="18">
        <f>IF(6&gt;'③ パラメータ'!C32,"—",ROUND(IF('③ パラメータ'!C34="固定",$C14+'③ パラメータ'!B28*(6),$C14*(1+'③ パラメータ'!D28*(6))),0))</f>
        <v/>
      </c>
      <c r="J14" s="18">
        <f>IF(7&gt;'③ パラメータ'!C32,"—",ROUND(IF('③ パラメータ'!C34="固定",$C14+'③ パラメータ'!B28*(7),$C14*(1+'③ パラメータ'!D28*(7))),0))</f>
        <v/>
      </c>
      <c r="K14" s="18">
        <f>IF(8&gt;'③ パラメータ'!C32,"—",ROUND(IF('③ パラメータ'!C34="固定",$C14+'③ パラメータ'!B28*(8),$C14*(1+'③ パラメータ'!D28*(8))),0))</f>
        <v/>
      </c>
      <c r="L14" s="18">
        <f>IF(9&gt;'③ パラメータ'!C32,"—",ROUND(IF('③ パラメータ'!C34="固定",$C14+'③ パラメータ'!B28*(9),$C14*(1+'③ パラメータ'!D28*(9))),0))</f>
        <v/>
      </c>
      <c r="M14" s="18">
        <f>IF(10&gt;'③ パラメータ'!C32,"—",ROUND(IF('③ パラメータ'!C34="固定",$C14+'③ パラメータ'!B28*(10),$C14*(1+'③ パラメータ'!D28*(10))),0))</f>
        <v/>
      </c>
      <c r="N14" s="19">
        <f>IF(M14="—","—",M14/D14)</f>
        <v/>
      </c>
    </row>
    <row r="15">
      <c r="A15" s="5" t="inlineStr"/>
      <c r="B15" s="5" t="inlineStr">
        <is>
          <t>ATK</t>
        </is>
      </c>
      <c r="C15" s="17" t="n">
        <v>8.4</v>
      </c>
      <c r="D15" s="18">
        <f>IF(1&gt;'③ パラメータ'!C32,"—",ROUND(IF('③ パラメータ'!C34="固定",$C15+'③ パラメータ'!C28*(1),$C15*(1+'③ パラメータ'!E28*(1))),0))</f>
        <v/>
      </c>
      <c r="E15" s="18">
        <f>IF(2&gt;'③ パラメータ'!C32,"—",ROUND(IF('③ パラメータ'!C34="固定",$C15+'③ パラメータ'!C28*(2),$C15*(1+'③ パラメータ'!E28*(2))),0))</f>
        <v/>
      </c>
      <c r="F15" s="18">
        <f>IF(3&gt;'③ パラメータ'!C32,"—",ROUND(IF('③ パラメータ'!C34="固定",$C15+'③ パラメータ'!C28*(3),$C15*(1+'③ パラメータ'!E28*(3))),0))</f>
        <v/>
      </c>
      <c r="G15" s="18">
        <f>IF(4&gt;'③ パラメータ'!C32,"—",ROUND(IF('③ パラメータ'!C34="固定",$C15+'③ パラメータ'!C28*(4),$C15*(1+'③ パラメータ'!E28*(4))),0))</f>
        <v/>
      </c>
      <c r="H15" s="18">
        <f>IF(5&gt;'③ パラメータ'!C32,"—",ROUND(IF('③ パラメータ'!C34="固定",$C15+'③ パラメータ'!C28*(5),$C15*(1+'③ パラメータ'!E28*(5))),0))</f>
        <v/>
      </c>
      <c r="I15" s="18">
        <f>IF(6&gt;'③ パラメータ'!C32,"—",ROUND(IF('③ パラメータ'!C34="固定",$C15+'③ パラメータ'!C28*(6),$C15*(1+'③ パラメータ'!E28*(6))),0))</f>
        <v/>
      </c>
      <c r="J15" s="18">
        <f>IF(7&gt;'③ パラメータ'!C32,"—",ROUND(IF('③ パラメータ'!C34="固定",$C15+'③ パラメータ'!C28*(7),$C15*(1+'③ パラメータ'!E28*(7))),0))</f>
        <v/>
      </c>
      <c r="K15" s="18">
        <f>IF(8&gt;'③ パラメータ'!C32,"—",ROUND(IF('③ パラメータ'!C34="固定",$C15+'③ パラメータ'!C28*(8),$C15*(1+'③ パラメータ'!E28*(8))),0))</f>
        <v/>
      </c>
      <c r="L15" s="18">
        <f>IF(9&gt;'③ パラメータ'!C32,"—",ROUND(IF('③ パラメータ'!C34="固定",$C15+'③ パラメータ'!C28*(9),$C15*(1+'③ パラメータ'!E28*(9))),0))</f>
        <v/>
      </c>
      <c r="M15" s="18">
        <f>IF(10&gt;'③ パラメータ'!C32,"—",ROUND(IF('③ パラメータ'!C34="固定",$C15+'③ パラメータ'!C28*(10),$C15*(1+'③ パラメータ'!E28*(10))),0))</f>
        <v/>
      </c>
      <c r="N15" s="19">
        <f>IF(M15="—","—",M15/D15)</f>
        <v/>
      </c>
    </row>
    <row r="16">
      <c r="A16" s="5" t="inlineStr"/>
      <c r="B16" s="5" t="inlineStr">
        <is>
          <t>SPD</t>
        </is>
      </c>
      <c r="C16" s="17" t="n">
        <v>51.4</v>
      </c>
      <c r="D16" s="6">
        <f>IF(1&gt;'③ パラメータ'!C32,"—",MIN(100,$C16+(INT((1-1)/'③ パラメータ'!C36)+1)*'③ パラメータ'!C35))</f>
        <v/>
      </c>
      <c r="E16" s="6">
        <f>IF(2&gt;'③ パラメータ'!C32,"—",MIN(100,$C16+(INT((2-1)/'③ パラメータ'!C36)+1)*'③ パラメータ'!C35))</f>
        <v/>
      </c>
      <c r="F16" s="6">
        <f>IF(3&gt;'③ パラメータ'!C32,"—",MIN(100,$C16+(INT((3-1)/'③ パラメータ'!C36)+1)*'③ パラメータ'!C35))</f>
        <v/>
      </c>
      <c r="G16" s="6">
        <f>IF(4&gt;'③ パラメータ'!C32,"—",MIN(100,$C16+(INT((4-1)/'③ パラメータ'!C36)+1)*'③ パラメータ'!C35))</f>
        <v/>
      </c>
      <c r="H16" s="6">
        <f>IF(5&gt;'③ パラメータ'!C32,"—",MIN(100,$C16+(INT((5-1)/'③ パラメータ'!C36)+1)*'③ パラメータ'!C35))</f>
        <v/>
      </c>
      <c r="I16" s="6">
        <f>IF(6&gt;'③ パラメータ'!C32,"—",MIN(100,$C16+(INT((6-1)/'③ パラメータ'!C36)+1)*'③ パラメータ'!C35))</f>
        <v/>
      </c>
      <c r="J16" s="6">
        <f>IF(7&gt;'③ パラメータ'!C32,"—",MIN(100,$C16+(INT((7-1)/'③ パラメータ'!C36)+1)*'③ パラメータ'!C35))</f>
        <v/>
      </c>
      <c r="K16" s="6">
        <f>IF(8&gt;'③ パラメータ'!C32,"—",MIN(100,$C16+(INT((8-1)/'③ パラメータ'!C36)+1)*'③ パラメータ'!C35))</f>
        <v/>
      </c>
      <c r="L16" s="6">
        <f>IF(9&gt;'③ パラメータ'!C32,"—",MIN(100,$C16+(INT((9-1)/'③ パラメータ'!C36)+1)*'③ パラメータ'!C35))</f>
        <v/>
      </c>
      <c r="M16" s="6">
        <f>IF(10&gt;'③ パラメータ'!C32,"—",MIN(100,$C16+(INT((10-1)/'③ パラメータ'!C36)+1)*'③ パラメータ'!C35))</f>
        <v/>
      </c>
      <c r="N16" s="19">
        <f>IF(M16="—","—",M16/D16)</f>
        <v/>
      </c>
    </row>
    <row r="18">
      <c r="A18" s="8" t="inlineStr">
        <is>
          <t>■ 見るときのポイント</t>
        </is>
      </c>
    </row>
    <row r="19">
      <c r="A19" s="3" t="inlineStr">
        <is>
          <t xml:space="preserve">　・ATKの素の値は4〜11しかありません。固定で+1すると1回で10〜25%増える計算になります。</t>
        </is>
      </c>
    </row>
    <row r="20">
      <c r="A20" s="3" t="inlineStr">
        <is>
          <t xml:space="preserve">　・SはAよりATKもSPDも低めです（S:ATK8.4/SPD51 A:ATK8.6/SPD61）。SはHPとスキルとCOSTで差がついています。</t>
        </is>
      </c>
    </row>
    <row r="21">
      <c r="A21" s="3" t="inlineStr">
        <is>
          <t xml:space="preserve">　・SPDは上限100で頭打ちになります。もともと速い使い魔ほど伸びしろが小さくなります。</t>
        </is>
      </c>
    </row>
    <row r="22">
      <c r="A22" s="3" t="inlineStr">
        <is>
          <t xml:space="preserve">　・スキルはATK・最大HPの割合で効くため、能力値を上げるとスキル威力も一緒に上がります。</t>
        </is>
      </c>
    </row>
  </sheetData>
  <mergeCells count="8">
    <mergeCell ref="A18:N18"/>
    <mergeCell ref="A3:N3"/>
    <mergeCell ref="A22:N22"/>
    <mergeCell ref="A20:N20"/>
    <mergeCell ref="A21:N21"/>
    <mergeCell ref="A2:N2"/>
    <mergeCell ref="A19:N19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2" customWidth="1" min="13" max="13"/>
  </cols>
  <sheetData>
    <row r="1" ht="22" customHeight="1">
      <c r="A1" s="1" t="inlineStr">
        <is>
          <t xml:space="preserve">  ⑥ デッキ試算　— 合計COST20以内の編成と、その平均ステータス</t>
        </is>
      </c>
    </row>
    <row r="2">
      <c r="A2" s="3" t="inlineStr">
        <is>
          <t xml:space="preserve">　　ランクの組み合わせごとに、⑤成長試算の平均能力値を足し合わせています。</t>
        </is>
      </c>
    </row>
    <row r="3">
      <c r="A3" s="3" t="inlineStr">
        <is>
          <t xml:space="preserve">　　「合計」は5体ぶんの合計、「平均」は1体あたりです。SPDは平均で見てください。</t>
        </is>
      </c>
    </row>
    <row r="5">
      <c r="A5" s="4" t="inlineStr">
        <is>
          <t>S</t>
        </is>
      </c>
      <c r="B5" s="4" t="inlineStr">
        <is>
          <t>A</t>
        </is>
      </c>
      <c r="C5" s="4" t="inlineStr">
        <is>
          <t>B</t>
        </is>
      </c>
      <c r="D5" s="4" t="inlineStr">
        <is>
          <t>C</t>
        </is>
      </c>
      <c r="E5" s="4" t="inlineStr">
        <is>
          <t>体数</t>
        </is>
      </c>
      <c r="F5" s="4" t="inlineStr">
        <is>
          <t>COST</t>
        </is>
      </c>
      <c r="G5" s="4" t="inlineStr">
        <is>
          <t>Lv1 HP計</t>
        </is>
      </c>
      <c r="H5" s="4" t="inlineStr">
        <is>
          <t>Lv1 ATK計</t>
        </is>
      </c>
      <c r="I5" s="4" t="inlineStr">
        <is>
          <t>Lv1 SPD平均</t>
        </is>
      </c>
      <c r="J5" s="4" t="inlineStr">
        <is>
          <t>Lv10 HP計</t>
        </is>
      </c>
      <c r="K5" s="4" t="inlineStr">
        <is>
          <t>Lv10 ATK計</t>
        </is>
      </c>
      <c r="L5" s="4" t="inlineStr">
        <is>
          <t>Lv10 SPD平均</t>
        </is>
      </c>
      <c r="M5" s="4" t="inlineStr">
        <is>
          <t>備考</t>
        </is>
      </c>
    </row>
    <row r="6">
      <c r="A6" s="5" t="n">
        <v>3</v>
      </c>
      <c r="B6" s="5" t="n">
        <v>0</v>
      </c>
      <c r="C6" s="5" t="n">
        <v>1</v>
      </c>
      <c r="D6" s="5" t="n">
        <v>1</v>
      </c>
      <c r="E6" s="5" t="n">
        <v>5</v>
      </c>
      <c r="F6" s="9" t="n">
        <v>20</v>
      </c>
      <c r="G6" s="6">
        <f>A6*'⑤ 成長試算'!D14+B6*'⑤ 成長試算'!D11+C6*'⑤ 成長試算'!D8+D6*'⑤ 成長試算'!D5</f>
        <v/>
      </c>
      <c r="H6" s="6">
        <f>A6*'⑤ 成長試算'!D15+B6*'⑤ 成長試算'!D12+C6*'⑤ 成長試算'!D9+D6*'⑤ 成長試算'!D6</f>
        <v/>
      </c>
      <c r="I6" s="6">
        <f>(A6*'⑤ 成長試算'!D16+B6*'⑤ 成長試算'!D13+C6*'⑤ 成長試算'!D10+D6*'⑤ 成長試算'!D7)/E6</f>
        <v/>
      </c>
      <c r="J6" s="6">
        <f>IF('⑤ 成長試算'!M14="—","—",A6*'⑤ 成長試算'!M14+B6*'⑤ 成長試算'!M11+C6*'⑤ 成長試算'!M8+D6*'⑤ 成長試算'!M5)</f>
        <v/>
      </c>
      <c r="K6" s="6">
        <f>IF('⑤ 成長試算'!M15="—","—",A6*'⑤ 成長試算'!M15+B6*'⑤ 成長試算'!M12+C6*'⑤ 成長試算'!M9+D6*'⑤ 成長試算'!M6)</f>
        <v/>
      </c>
      <c r="L6" s="6">
        <f>IF('⑤ 成長試算'!M16="—","—",(A6*'⑤ 成長試算'!M16+B6*'⑤ 成長試算'!M13+C6*'⑤ 成長試算'!M10+D6*'⑤ 成長試算'!M7)/E6)</f>
        <v/>
      </c>
      <c r="M6" s="5" t="inlineStr">
        <is>
          <t>COST上限ぴったり</t>
        </is>
      </c>
    </row>
    <row r="7">
      <c r="A7" s="5" t="n">
        <v>2</v>
      </c>
      <c r="B7" s="5" t="n">
        <v>2</v>
      </c>
      <c r="C7" s="5" t="n">
        <v>0</v>
      </c>
      <c r="D7" s="5" t="n">
        <v>1</v>
      </c>
      <c r="E7" s="5" t="n">
        <v>5</v>
      </c>
      <c r="F7" s="9" t="n">
        <v>20</v>
      </c>
      <c r="G7" s="6">
        <f>A7*'⑤ 成長試算'!D14+B7*'⑤ 成長試算'!D11+C7*'⑤ 成長試算'!D8+D7*'⑤ 成長試算'!D5</f>
        <v/>
      </c>
      <c r="H7" s="6">
        <f>A7*'⑤ 成長試算'!D15+B7*'⑤ 成長試算'!D12+C7*'⑤ 成長試算'!D9+D7*'⑤ 成長試算'!D6</f>
        <v/>
      </c>
      <c r="I7" s="6">
        <f>(A7*'⑤ 成長試算'!D16+B7*'⑤ 成長試算'!D13+C7*'⑤ 成長試算'!D10+D7*'⑤ 成長試算'!D7)/E7</f>
        <v/>
      </c>
      <c r="J7" s="6">
        <f>IF('⑤ 成長試算'!M14="—","—",A7*'⑤ 成長試算'!M14+B7*'⑤ 成長試算'!M11+C7*'⑤ 成長試算'!M8+D7*'⑤ 成長試算'!M5)</f>
        <v/>
      </c>
      <c r="K7" s="6">
        <f>IF('⑤ 成長試算'!M15="—","—",A7*'⑤ 成長試算'!M15+B7*'⑤ 成長試算'!M12+C7*'⑤ 成長試算'!M9+D7*'⑤ 成長試算'!M6)</f>
        <v/>
      </c>
      <c r="L7" s="6">
        <f>IF('⑤ 成長試算'!M16="—","—",(A7*'⑤ 成長試算'!M16+B7*'⑤ 成長試算'!M13+C7*'⑤ 成長試算'!M10+D7*'⑤ 成長試算'!M7)/E7)</f>
        <v/>
      </c>
      <c r="M7" s="5" t="inlineStr">
        <is>
          <t>COST上限ぴったり</t>
        </is>
      </c>
    </row>
    <row r="8">
      <c r="A8" s="5" t="n">
        <v>2</v>
      </c>
      <c r="B8" s="5" t="n">
        <v>1</v>
      </c>
      <c r="C8" s="5" t="n">
        <v>2</v>
      </c>
      <c r="D8" s="5" t="n">
        <v>0</v>
      </c>
      <c r="E8" s="5" t="n">
        <v>5</v>
      </c>
      <c r="F8" s="9" t="n">
        <v>20</v>
      </c>
      <c r="G8" s="6">
        <f>A8*'⑤ 成長試算'!D14+B8*'⑤ 成長試算'!D11+C8*'⑤ 成長試算'!D8+D8*'⑤ 成長試算'!D5</f>
        <v/>
      </c>
      <c r="H8" s="6">
        <f>A8*'⑤ 成長試算'!D15+B8*'⑤ 成長試算'!D12+C8*'⑤ 成長試算'!D9+D8*'⑤ 成長試算'!D6</f>
        <v/>
      </c>
      <c r="I8" s="6">
        <f>(A8*'⑤ 成長試算'!D16+B8*'⑤ 成長試算'!D13+C8*'⑤ 成長試算'!D10+D8*'⑤ 成長試算'!D7)/E8</f>
        <v/>
      </c>
      <c r="J8" s="6">
        <f>IF('⑤ 成長試算'!M14="—","—",A8*'⑤ 成長試算'!M14+B8*'⑤ 成長試算'!M11+C8*'⑤ 成長試算'!M8+D8*'⑤ 成長試算'!M5)</f>
        <v/>
      </c>
      <c r="K8" s="6">
        <f>IF('⑤ 成長試算'!M15="—","—",A8*'⑤ 成長試算'!M15+B8*'⑤ 成長試算'!M12+C8*'⑤ 成長試算'!M9+D8*'⑤ 成長試算'!M6)</f>
        <v/>
      </c>
      <c r="L8" s="6">
        <f>IF('⑤ 成長試算'!M16="—","—",(A8*'⑤ 成長試算'!M16+B8*'⑤ 成長試算'!M13+C8*'⑤ 成長試算'!M10+D8*'⑤ 成長試算'!M7)/E8)</f>
        <v/>
      </c>
      <c r="M8" s="5" t="inlineStr">
        <is>
          <t>COST上限ぴったり</t>
        </is>
      </c>
    </row>
    <row r="9">
      <c r="A9" s="5" t="n">
        <v>1</v>
      </c>
      <c r="B9" s="5" t="n">
        <v>3</v>
      </c>
      <c r="C9" s="5" t="n">
        <v>1</v>
      </c>
      <c r="D9" s="5" t="n">
        <v>0</v>
      </c>
      <c r="E9" s="5" t="n">
        <v>5</v>
      </c>
      <c r="F9" s="9" t="n">
        <v>20</v>
      </c>
      <c r="G9" s="6">
        <f>A9*'⑤ 成長試算'!D14+B9*'⑤ 成長試算'!D11+C9*'⑤ 成長試算'!D8+D9*'⑤ 成長試算'!D5</f>
        <v/>
      </c>
      <c r="H9" s="6">
        <f>A9*'⑤ 成長試算'!D15+B9*'⑤ 成長試算'!D12+C9*'⑤ 成長試算'!D9+D9*'⑤ 成長試算'!D6</f>
        <v/>
      </c>
      <c r="I9" s="6">
        <f>(A9*'⑤ 成長試算'!D16+B9*'⑤ 成長試算'!D13+C9*'⑤ 成長試算'!D10+D9*'⑤ 成長試算'!D7)/E9</f>
        <v/>
      </c>
      <c r="J9" s="6">
        <f>IF('⑤ 成長試算'!M14="—","—",A9*'⑤ 成長試算'!M14+B9*'⑤ 成長試算'!M11+C9*'⑤ 成長試算'!M8+D9*'⑤ 成長試算'!M5)</f>
        <v/>
      </c>
      <c r="K9" s="6">
        <f>IF('⑤ 成長試算'!M15="—","—",A9*'⑤ 成長試算'!M15+B9*'⑤ 成長試算'!M12+C9*'⑤ 成長試算'!M9+D9*'⑤ 成長試算'!M6)</f>
        <v/>
      </c>
      <c r="L9" s="6">
        <f>IF('⑤ 成長試算'!M16="—","—",(A9*'⑤ 成長試算'!M16+B9*'⑤ 成長試算'!M13+C9*'⑤ 成長試算'!M10+D9*'⑤ 成長試算'!M7)/E9)</f>
        <v/>
      </c>
      <c r="M9" s="5" t="inlineStr">
        <is>
          <t>COST上限ぴったり</t>
        </is>
      </c>
    </row>
    <row r="10">
      <c r="A10" s="5" t="n">
        <v>0</v>
      </c>
      <c r="B10" s="5" t="n">
        <v>5</v>
      </c>
      <c r="C10" s="5" t="n">
        <v>0</v>
      </c>
      <c r="D10" s="5" t="n">
        <v>0</v>
      </c>
      <c r="E10" s="5" t="n">
        <v>5</v>
      </c>
      <c r="F10" s="9" t="n">
        <v>20</v>
      </c>
      <c r="G10" s="6">
        <f>A10*'⑤ 成長試算'!D14+B10*'⑤ 成長試算'!D11+C10*'⑤ 成長試算'!D8+D10*'⑤ 成長試算'!D5</f>
        <v/>
      </c>
      <c r="H10" s="6">
        <f>A10*'⑤ 成長試算'!D15+B10*'⑤ 成長試算'!D12+C10*'⑤ 成長試算'!D9+D10*'⑤ 成長試算'!D6</f>
        <v/>
      </c>
      <c r="I10" s="6">
        <f>(A10*'⑤ 成長試算'!D16+B10*'⑤ 成長試算'!D13+C10*'⑤ 成長試算'!D10+D10*'⑤ 成長試算'!D7)/E10</f>
        <v/>
      </c>
      <c r="J10" s="6">
        <f>IF('⑤ 成長試算'!M14="—","—",A10*'⑤ 成長試算'!M14+B10*'⑤ 成長試算'!M11+C10*'⑤ 成長試算'!M8+D10*'⑤ 成長試算'!M5)</f>
        <v/>
      </c>
      <c r="K10" s="6">
        <f>IF('⑤ 成長試算'!M15="—","—",A10*'⑤ 成長試算'!M15+B10*'⑤ 成長試算'!M12+C10*'⑤ 成長試算'!M9+D10*'⑤ 成長試算'!M6)</f>
        <v/>
      </c>
      <c r="L10" s="6">
        <f>IF('⑤ 成長試算'!M16="—","—",(A10*'⑤ 成長試算'!M16+B10*'⑤ 成長試算'!M13+C10*'⑤ 成長試算'!M10+D10*'⑤ 成長試算'!M7)/E10)</f>
        <v/>
      </c>
      <c r="M10" s="5" t="inlineStr">
        <is>
          <t>COST上限ぴったり</t>
        </is>
      </c>
    </row>
    <row r="11">
      <c r="A11" s="5" t="n">
        <v>3</v>
      </c>
      <c r="B11" s="5" t="n">
        <v>0</v>
      </c>
      <c r="C11" s="5" t="n">
        <v>0</v>
      </c>
      <c r="D11" s="5" t="n">
        <v>2</v>
      </c>
      <c r="E11" s="5" t="n">
        <v>5</v>
      </c>
      <c r="F11" s="9" t="n">
        <v>19</v>
      </c>
      <c r="G11" s="6">
        <f>A11*'⑤ 成長試算'!D14+B11*'⑤ 成長試算'!D11+C11*'⑤ 成長試算'!D8+D11*'⑤ 成長試算'!D5</f>
        <v/>
      </c>
      <c r="H11" s="6">
        <f>A11*'⑤ 成長試算'!D15+B11*'⑤ 成長試算'!D12+C11*'⑤ 成長試算'!D9+D11*'⑤ 成長試算'!D6</f>
        <v/>
      </c>
      <c r="I11" s="6">
        <f>(A11*'⑤ 成長試算'!D16+B11*'⑤ 成長試算'!D13+C11*'⑤ 成長試算'!D10+D11*'⑤ 成長試算'!D7)/E11</f>
        <v/>
      </c>
      <c r="J11" s="6">
        <f>IF('⑤ 成長試算'!M14="—","—",A11*'⑤ 成長試算'!M14+B11*'⑤ 成長試算'!M11+C11*'⑤ 成長試算'!M8+D11*'⑤ 成長試算'!M5)</f>
        <v/>
      </c>
      <c r="K11" s="6">
        <f>IF('⑤ 成長試算'!M15="—","—",A11*'⑤ 成長試算'!M15+B11*'⑤ 成長試算'!M12+C11*'⑤ 成長試算'!M9+D11*'⑤ 成長試算'!M6)</f>
        <v/>
      </c>
      <c r="L11" s="6">
        <f>IF('⑤ 成長試算'!M16="—","—",(A11*'⑤ 成長試算'!M16+B11*'⑤ 成長試算'!M13+C11*'⑤ 成長試算'!M10+D11*'⑤ 成長試算'!M7)/E11)</f>
        <v/>
      </c>
      <c r="M11" s="5" t="inlineStr"/>
    </row>
    <row r="12">
      <c r="A12" s="5" t="n">
        <v>2</v>
      </c>
      <c r="B12" s="5" t="n">
        <v>1</v>
      </c>
      <c r="C12" s="5" t="n">
        <v>1</v>
      </c>
      <c r="D12" s="5" t="n">
        <v>1</v>
      </c>
      <c r="E12" s="5" t="n">
        <v>5</v>
      </c>
      <c r="F12" s="9" t="n">
        <v>19</v>
      </c>
      <c r="G12" s="6">
        <f>A12*'⑤ 成長試算'!D14+B12*'⑤ 成長試算'!D11+C12*'⑤ 成長試算'!D8+D12*'⑤ 成長試算'!D5</f>
        <v/>
      </c>
      <c r="H12" s="6">
        <f>A12*'⑤ 成長試算'!D15+B12*'⑤ 成長試算'!D12+C12*'⑤ 成長試算'!D9+D12*'⑤ 成長試算'!D6</f>
        <v/>
      </c>
      <c r="I12" s="6">
        <f>(A12*'⑤ 成長試算'!D16+B12*'⑤ 成長試算'!D13+C12*'⑤ 成長試算'!D10+D12*'⑤ 成長試算'!D7)/E12</f>
        <v/>
      </c>
      <c r="J12" s="6">
        <f>IF('⑤ 成長試算'!M14="—","—",A12*'⑤ 成長試算'!M14+B12*'⑤ 成長試算'!M11+C12*'⑤ 成長試算'!M8+D12*'⑤ 成長試算'!M5)</f>
        <v/>
      </c>
      <c r="K12" s="6">
        <f>IF('⑤ 成長試算'!M15="—","—",A12*'⑤ 成長試算'!M15+B12*'⑤ 成長試算'!M12+C12*'⑤ 成長試算'!M9+D12*'⑤ 成長試算'!M6)</f>
        <v/>
      </c>
      <c r="L12" s="6">
        <f>IF('⑤ 成長試算'!M16="—","—",(A12*'⑤ 成長試算'!M16+B12*'⑤ 成長試算'!M13+C12*'⑤ 成長試算'!M10+D12*'⑤ 成長試算'!M7)/E12)</f>
        <v/>
      </c>
      <c r="M12" s="5" t="inlineStr"/>
    </row>
    <row r="13">
      <c r="A13" s="5" t="n">
        <v>2</v>
      </c>
      <c r="B13" s="5" t="n">
        <v>0</v>
      </c>
      <c r="C13" s="5" t="n">
        <v>3</v>
      </c>
      <c r="D13" s="5" t="n">
        <v>0</v>
      </c>
      <c r="E13" s="5" t="n">
        <v>5</v>
      </c>
      <c r="F13" s="9" t="n">
        <v>19</v>
      </c>
      <c r="G13" s="6">
        <f>A13*'⑤ 成長試算'!D14+B13*'⑤ 成長試算'!D11+C13*'⑤ 成長試算'!D8+D13*'⑤ 成長試算'!D5</f>
        <v/>
      </c>
      <c r="H13" s="6">
        <f>A13*'⑤ 成長試算'!D15+B13*'⑤ 成長試算'!D12+C13*'⑤ 成長試算'!D9+D13*'⑤ 成長試算'!D6</f>
        <v/>
      </c>
      <c r="I13" s="6">
        <f>(A13*'⑤ 成長試算'!D16+B13*'⑤ 成長試算'!D13+C13*'⑤ 成長試算'!D10+D13*'⑤ 成長試算'!D7)/E13</f>
        <v/>
      </c>
      <c r="J13" s="6">
        <f>IF('⑤ 成長試算'!M14="—","—",A13*'⑤ 成長試算'!M14+B13*'⑤ 成長試算'!M11+C13*'⑤ 成長試算'!M8+D13*'⑤ 成長試算'!M5)</f>
        <v/>
      </c>
      <c r="K13" s="6">
        <f>IF('⑤ 成長試算'!M15="—","—",A13*'⑤ 成長試算'!M15+B13*'⑤ 成長試算'!M12+C13*'⑤ 成長試算'!M9+D13*'⑤ 成長試算'!M6)</f>
        <v/>
      </c>
      <c r="L13" s="6">
        <f>IF('⑤ 成長試算'!M16="—","—",(A13*'⑤ 成長試算'!M16+B13*'⑤ 成長試算'!M13+C13*'⑤ 成長試算'!M10+D13*'⑤ 成長試算'!M7)/E13)</f>
        <v/>
      </c>
      <c r="M13" s="5" t="inlineStr"/>
    </row>
    <row r="14">
      <c r="A14" s="5" t="n">
        <v>1</v>
      </c>
      <c r="B14" s="5" t="n">
        <v>3</v>
      </c>
      <c r="C14" s="5" t="n">
        <v>0</v>
      </c>
      <c r="D14" s="5" t="n">
        <v>1</v>
      </c>
      <c r="E14" s="5" t="n">
        <v>5</v>
      </c>
      <c r="F14" s="9" t="n">
        <v>19</v>
      </c>
      <c r="G14" s="6">
        <f>A14*'⑤ 成長試算'!D14+B14*'⑤ 成長試算'!D11+C14*'⑤ 成長試算'!D8+D14*'⑤ 成長試算'!D5</f>
        <v/>
      </c>
      <c r="H14" s="6">
        <f>A14*'⑤ 成長試算'!D15+B14*'⑤ 成長試算'!D12+C14*'⑤ 成長試算'!D9+D14*'⑤ 成長試算'!D6</f>
        <v/>
      </c>
      <c r="I14" s="6">
        <f>(A14*'⑤ 成長試算'!D16+B14*'⑤ 成長試算'!D13+C14*'⑤ 成長試算'!D10+D14*'⑤ 成長試算'!D7)/E14</f>
        <v/>
      </c>
      <c r="J14" s="6">
        <f>IF('⑤ 成長試算'!M14="—","—",A14*'⑤ 成長試算'!M14+B14*'⑤ 成長試算'!M11+C14*'⑤ 成長試算'!M8+D14*'⑤ 成長試算'!M5)</f>
        <v/>
      </c>
      <c r="K14" s="6">
        <f>IF('⑤ 成長試算'!M15="—","—",A14*'⑤ 成長試算'!M15+B14*'⑤ 成長試算'!M12+C14*'⑤ 成長試算'!M9+D14*'⑤ 成長試算'!M6)</f>
        <v/>
      </c>
      <c r="L14" s="6">
        <f>IF('⑤ 成長試算'!M16="—","—",(A14*'⑤ 成長試算'!M16+B14*'⑤ 成長試算'!M13+C14*'⑤ 成長試算'!M10+D14*'⑤ 成長試算'!M7)/E14)</f>
        <v/>
      </c>
      <c r="M14" s="5" t="inlineStr"/>
    </row>
    <row r="15">
      <c r="A15" s="5" t="n">
        <v>1</v>
      </c>
      <c r="B15" s="5" t="n">
        <v>2</v>
      </c>
      <c r="C15" s="5" t="n">
        <v>2</v>
      </c>
      <c r="D15" s="5" t="n">
        <v>0</v>
      </c>
      <c r="E15" s="5" t="n">
        <v>5</v>
      </c>
      <c r="F15" s="9" t="n">
        <v>19</v>
      </c>
      <c r="G15" s="6">
        <f>A15*'⑤ 成長試算'!D14+B15*'⑤ 成長試算'!D11+C15*'⑤ 成長試算'!D8+D15*'⑤ 成長試算'!D5</f>
        <v/>
      </c>
      <c r="H15" s="6">
        <f>A15*'⑤ 成長試算'!D15+B15*'⑤ 成長試算'!D12+C15*'⑤ 成長試算'!D9+D15*'⑤ 成長試算'!D6</f>
        <v/>
      </c>
      <c r="I15" s="6">
        <f>(A15*'⑤ 成長試算'!D16+B15*'⑤ 成長試算'!D13+C15*'⑤ 成長試算'!D10+D15*'⑤ 成長試算'!D7)/E15</f>
        <v/>
      </c>
      <c r="J15" s="6">
        <f>IF('⑤ 成長試算'!M14="—","—",A15*'⑤ 成長試算'!M14+B15*'⑤ 成長試算'!M11+C15*'⑤ 成長試算'!M8+D15*'⑤ 成長試算'!M5)</f>
        <v/>
      </c>
      <c r="K15" s="6">
        <f>IF('⑤ 成長試算'!M15="—","—",A15*'⑤ 成長試算'!M15+B15*'⑤ 成長試算'!M12+C15*'⑤ 成長試算'!M9+D15*'⑤ 成長試算'!M6)</f>
        <v/>
      </c>
      <c r="L15" s="6">
        <f>IF('⑤ 成長試算'!M16="—","—",(A15*'⑤ 成長試算'!M16+B15*'⑤ 成長試算'!M13+C15*'⑤ 成長試算'!M10+D15*'⑤ 成長試算'!M7)/E15)</f>
        <v/>
      </c>
      <c r="M15" s="5" t="inlineStr"/>
    </row>
    <row r="16">
      <c r="A16" s="5" t="n">
        <v>0</v>
      </c>
      <c r="B16" s="5" t="n">
        <v>4</v>
      </c>
      <c r="C16" s="5" t="n">
        <v>1</v>
      </c>
      <c r="D16" s="5" t="n">
        <v>0</v>
      </c>
      <c r="E16" s="5" t="n">
        <v>5</v>
      </c>
      <c r="F16" s="9" t="n">
        <v>19</v>
      </c>
      <c r="G16" s="6">
        <f>A16*'⑤ 成長試算'!D14+B16*'⑤ 成長試算'!D11+C16*'⑤ 成長試算'!D8+D16*'⑤ 成長試算'!D5</f>
        <v/>
      </c>
      <c r="H16" s="6">
        <f>A16*'⑤ 成長試算'!D15+B16*'⑤ 成長試算'!D12+C16*'⑤ 成長試算'!D9+D16*'⑤ 成長試算'!D6</f>
        <v/>
      </c>
      <c r="I16" s="6">
        <f>(A16*'⑤ 成長試算'!D16+B16*'⑤ 成長試算'!D13+C16*'⑤ 成長試算'!D10+D16*'⑤ 成長試算'!D7)/E16</f>
        <v/>
      </c>
      <c r="J16" s="6">
        <f>IF('⑤ 成長試算'!M14="—","—",A16*'⑤ 成長試算'!M14+B16*'⑤ 成長試算'!M11+C16*'⑤ 成長試算'!M8+D16*'⑤ 成長試算'!M5)</f>
        <v/>
      </c>
      <c r="K16" s="6">
        <f>IF('⑤ 成長試算'!M15="—","—",A16*'⑤ 成長試算'!M15+B16*'⑤ 成長試算'!M12+C16*'⑤ 成長試算'!M9+D16*'⑤ 成長試算'!M6)</f>
        <v/>
      </c>
      <c r="L16" s="6">
        <f>IF('⑤ 成長試算'!M16="—","—",(A16*'⑤ 成長試算'!M16+B16*'⑤ 成長試算'!M13+C16*'⑤ 成長試算'!M10+D16*'⑤ 成長試算'!M7)/E16)</f>
        <v/>
      </c>
      <c r="M16" s="5" t="inlineStr"/>
    </row>
    <row r="17">
      <c r="A17" s="5" t="n">
        <v>2</v>
      </c>
      <c r="B17" s="5" t="n">
        <v>1</v>
      </c>
      <c r="C17" s="5" t="n">
        <v>0</v>
      </c>
      <c r="D17" s="5" t="n">
        <v>2</v>
      </c>
      <c r="E17" s="5" t="n">
        <v>5</v>
      </c>
      <c r="F17" s="9" t="n">
        <v>18</v>
      </c>
      <c r="G17" s="6">
        <f>A17*'⑤ 成長試算'!D14+B17*'⑤ 成長試算'!D11+C17*'⑤ 成長試算'!D8+D17*'⑤ 成長試算'!D5</f>
        <v/>
      </c>
      <c r="H17" s="6">
        <f>A17*'⑤ 成長試算'!D15+B17*'⑤ 成長試算'!D12+C17*'⑤ 成長試算'!D9+D17*'⑤ 成長試算'!D6</f>
        <v/>
      </c>
      <c r="I17" s="6">
        <f>(A17*'⑤ 成長試算'!D16+B17*'⑤ 成長試算'!D13+C17*'⑤ 成長試算'!D10+D17*'⑤ 成長試算'!D7)/E17</f>
        <v/>
      </c>
      <c r="J17" s="6">
        <f>IF('⑤ 成長試算'!M14="—","—",A17*'⑤ 成長試算'!M14+B17*'⑤ 成長試算'!M11+C17*'⑤ 成長試算'!M8+D17*'⑤ 成長試算'!M5)</f>
        <v/>
      </c>
      <c r="K17" s="6">
        <f>IF('⑤ 成長試算'!M15="—","—",A17*'⑤ 成長試算'!M15+B17*'⑤ 成長試算'!M12+C17*'⑤ 成長試算'!M9+D17*'⑤ 成長試算'!M6)</f>
        <v/>
      </c>
      <c r="L17" s="6">
        <f>IF('⑤ 成長試算'!M16="—","—",(A17*'⑤ 成長試算'!M16+B17*'⑤ 成長試算'!M13+C17*'⑤ 成長試算'!M10+D17*'⑤ 成長試算'!M7)/E17)</f>
        <v/>
      </c>
      <c r="M17" s="5" t="inlineStr"/>
    </row>
    <row r="18">
      <c r="A18" s="5" t="n">
        <v>2</v>
      </c>
      <c r="B18" s="5" t="n">
        <v>0</v>
      </c>
      <c r="C18" s="5" t="n">
        <v>2</v>
      </c>
      <c r="D18" s="5" t="n">
        <v>1</v>
      </c>
      <c r="E18" s="5" t="n">
        <v>5</v>
      </c>
      <c r="F18" s="9" t="n">
        <v>18</v>
      </c>
      <c r="G18" s="6">
        <f>A18*'⑤ 成長試算'!D14+B18*'⑤ 成長試算'!D11+C18*'⑤ 成長試算'!D8+D18*'⑤ 成長試算'!D5</f>
        <v/>
      </c>
      <c r="H18" s="6">
        <f>A18*'⑤ 成長試算'!D15+B18*'⑤ 成長試算'!D12+C18*'⑤ 成長試算'!D9+D18*'⑤ 成長試算'!D6</f>
        <v/>
      </c>
      <c r="I18" s="6">
        <f>(A18*'⑤ 成長試算'!D16+B18*'⑤ 成長試算'!D13+C18*'⑤ 成長試算'!D10+D18*'⑤ 成長試算'!D7)/E18</f>
        <v/>
      </c>
      <c r="J18" s="6">
        <f>IF('⑤ 成長試算'!M14="—","—",A18*'⑤ 成長試算'!M14+B18*'⑤ 成長試算'!M11+C18*'⑤ 成長試算'!M8+D18*'⑤ 成長試算'!M5)</f>
        <v/>
      </c>
      <c r="K18" s="6">
        <f>IF('⑤ 成長試算'!M15="—","—",A18*'⑤ 成長試算'!M15+B18*'⑤ 成長試算'!M12+C18*'⑤ 成長試算'!M9+D18*'⑤ 成長試算'!M6)</f>
        <v/>
      </c>
      <c r="L18" s="6">
        <f>IF('⑤ 成長試算'!M16="—","—",(A18*'⑤ 成長試算'!M16+B18*'⑤ 成長試算'!M13+C18*'⑤ 成長試算'!M10+D18*'⑤ 成長試算'!M7)/E18)</f>
        <v/>
      </c>
      <c r="M18" s="5" t="inlineStr"/>
    </row>
    <row r="19">
      <c r="A19" s="5" t="n">
        <v>1</v>
      </c>
      <c r="B19" s="5" t="n">
        <v>2</v>
      </c>
      <c r="C19" s="5" t="n">
        <v>1</v>
      </c>
      <c r="D19" s="5" t="n">
        <v>1</v>
      </c>
      <c r="E19" s="5" t="n">
        <v>5</v>
      </c>
      <c r="F19" s="9" t="n">
        <v>18</v>
      </c>
      <c r="G19" s="6">
        <f>A19*'⑤ 成長試算'!D14+B19*'⑤ 成長試算'!D11+C19*'⑤ 成長試算'!D8+D19*'⑤ 成長試算'!D5</f>
        <v/>
      </c>
      <c r="H19" s="6">
        <f>A19*'⑤ 成長試算'!D15+B19*'⑤ 成長試算'!D12+C19*'⑤ 成長試算'!D9+D19*'⑤ 成長試算'!D6</f>
        <v/>
      </c>
      <c r="I19" s="6">
        <f>(A19*'⑤ 成長試算'!D16+B19*'⑤ 成長試算'!D13+C19*'⑤ 成長試算'!D10+D19*'⑤ 成長試算'!D7)/E19</f>
        <v/>
      </c>
      <c r="J19" s="6">
        <f>IF('⑤ 成長試算'!M14="—","—",A19*'⑤ 成長試算'!M14+B19*'⑤ 成長試算'!M11+C19*'⑤ 成長試算'!M8+D19*'⑤ 成長試算'!M5)</f>
        <v/>
      </c>
      <c r="K19" s="6">
        <f>IF('⑤ 成長試算'!M15="—","—",A19*'⑤ 成長試算'!M15+B19*'⑤ 成長試算'!M12+C19*'⑤ 成長試算'!M9+D19*'⑤ 成長試算'!M6)</f>
        <v/>
      </c>
      <c r="L19" s="6">
        <f>IF('⑤ 成長試算'!M16="—","—",(A19*'⑤ 成長試算'!M16+B19*'⑤ 成長試算'!M13+C19*'⑤ 成長試算'!M10+D19*'⑤ 成長試算'!M7)/E19)</f>
        <v/>
      </c>
      <c r="M19" s="5" t="inlineStr"/>
    </row>
    <row r="20">
      <c r="A20" s="5" t="n">
        <v>1</v>
      </c>
      <c r="B20" s="5" t="n">
        <v>1</v>
      </c>
      <c r="C20" s="5" t="n">
        <v>3</v>
      </c>
      <c r="D20" s="5" t="n">
        <v>0</v>
      </c>
      <c r="E20" s="5" t="n">
        <v>5</v>
      </c>
      <c r="F20" s="9" t="n">
        <v>18</v>
      </c>
      <c r="G20" s="6">
        <f>A20*'⑤ 成長試算'!D14+B20*'⑤ 成長試算'!D11+C20*'⑤ 成長試算'!D8+D20*'⑤ 成長試算'!D5</f>
        <v/>
      </c>
      <c r="H20" s="6">
        <f>A20*'⑤ 成長試算'!D15+B20*'⑤ 成長試算'!D12+C20*'⑤ 成長試算'!D9+D20*'⑤ 成長試算'!D6</f>
        <v/>
      </c>
      <c r="I20" s="6">
        <f>(A20*'⑤ 成長試算'!D16+B20*'⑤ 成長試算'!D13+C20*'⑤ 成長試算'!D10+D20*'⑤ 成長試算'!D7)/E20</f>
        <v/>
      </c>
      <c r="J20" s="6">
        <f>IF('⑤ 成長試算'!M14="—","—",A20*'⑤ 成長試算'!M14+B20*'⑤ 成長試算'!M11+C20*'⑤ 成長試算'!M8+D20*'⑤ 成長試算'!M5)</f>
        <v/>
      </c>
      <c r="K20" s="6">
        <f>IF('⑤ 成長試算'!M15="—","—",A20*'⑤ 成長試算'!M15+B20*'⑤ 成長試算'!M12+C20*'⑤ 成長試算'!M9+D20*'⑤ 成長試算'!M6)</f>
        <v/>
      </c>
      <c r="L20" s="6">
        <f>IF('⑤ 成長試算'!M16="—","—",(A20*'⑤ 成長試算'!M16+B20*'⑤ 成長試算'!M13+C20*'⑤ 成長試算'!M10+D20*'⑤ 成長試算'!M7)/E20)</f>
        <v/>
      </c>
      <c r="M20" s="5" t="inlineStr"/>
    </row>
    <row r="21">
      <c r="A21" s="5" t="n">
        <v>0</v>
      </c>
      <c r="B21" s="5" t="n">
        <v>4</v>
      </c>
      <c r="C21" s="5" t="n">
        <v>0</v>
      </c>
      <c r="D21" s="5" t="n">
        <v>1</v>
      </c>
      <c r="E21" s="5" t="n">
        <v>5</v>
      </c>
      <c r="F21" s="9" t="n">
        <v>18</v>
      </c>
      <c r="G21" s="6">
        <f>A21*'⑤ 成長試算'!D14+B21*'⑤ 成長試算'!D11+C21*'⑤ 成長試算'!D8+D21*'⑤ 成長試算'!D5</f>
        <v/>
      </c>
      <c r="H21" s="6">
        <f>A21*'⑤ 成長試算'!D15+B21*'⑤ 成長試算'!D12+C21*'⑤ 成長試算'!D9+D21*'⑤ 成長試算'!D6</f>
        <v/>
      </c>
      <c r="I21" s="6">
        <f>(A21*'⑤ 成長試算'!D16+B21*'⑤ 成長試算'!D13+C21*'⑤ 成長試算'!D10+D21*'⑤ 成長試算'!D7)/E21</f>
        <v/>
      </c>
      <c r="J21" s="6">
        <f>IF('⑤ 成長試算'!M14="—","—",A21*'⑤ 成長試算'!M14+B21*'⑤ 成長試算'!M11+C21*'⑤ 成長試算'!M8+D21*'⑤ 成長試算'!M5)</f>
        <v/>
      </c>
      <c r="K21" s="6">
        <f>IF('⑤ 成長試算'!M15="—","—",A21*'⑤ 成長試算'!M15+B21*'⑤ 成長試算'!M12+C21*'⑤ 成長試算'!M9+D21*'⑤ 成長試算'!M6)</f>
        <v/>
      </c>
      <c r="L21" s="6">
        <f>IF('⑤ 成長試算'!M16="—","—",(A21*'⑤ 成長試算'!M16+B21*'⑤ 成長試算'!M13+C21*'⑤ 成長試算'!M10+D21*'⑤ 成長試算'!M7)/E21)</f>
        <v/>
      </c>
      <c r="M21" s="5" t="inlineStr"/>
    </row>
    <row r="22">
      <c r="A22" s="5" t="n">
        <v>0</v>
      </c>
      <c r="B22" s="5" t="n">
        <v>3</v>
      </c>
      <c r="C22" s="5" t="n">
        <v>2</v>
      </c>
      <c r="D22" s="5" t="n">
        <v>0</v>
      </c>
      <c r="E22" s="5" t="n">
        <v>5</v>
      </c>
      <c r="F22" s="9" t="n">
        <v>18</v>
      </c>
      <c r="G22" s="6">
        <f>A22*'⑤ 成長試算'!D14+B22*'⑤ 成長試算'!D11+C22*'⑤ 成長試算'!D8+D22*'⑤ 成長試算'!D5</f>
        <v/>
      </c>
      <c r="H22" s="6">
        <f>A22*'⑤ 成長試算'!D15+B22*'⑤ 成長試算'!D12+C22*'⑤ 成長試算'!D9+D22*'⑤ 成長試算'!D6</f>
        <v/>
      </c>
      <c r="I22" s="6">
        <f>(A22*'⑤ 成長試算'!D16+B22*'⑤ 成長試算'!D13+C22*'⑤ 成長試算'!D10+D22*'⑤ 成長試算'!D7)/E22</f>
        <v/>
      </c>
      <c r="J22" s="6">
        <f>IF('⑤ 成長試算'!M14="—","—",A22*'⑤ 成長試算'!M14+B22*'⑤ 成長試算'!M11+C22*'⑤ 成長試算'!M8+D22*'⑤ 成長試算'!M5)</f>
        <v/>
      </c>
      <c r="K22" s="6">
        <f>IF('⑤ 成長試算'!M15="—","—",A22*'⑤ 成長試算'!M15+B22*'⑤ 成長試算'!M12+C22*'⑤ 成長試算'!M9+D22*'⑤ 成長試算'!M6)</f>
        <v/>
      </c>
      <c r="L22" s="6">
        <f>IF('⑤ 成長試算'!M16="—","—",(A22*'⑤ 成長試算'!M16+B22*'⑤ 成長試算'!M13+C22*'⑤ 成長試算'!M10+D22*'⑤ 成長試算'!M7)/E22)</f>
        <v/>
      </c>
      <c r="M22" s="5" t="inlineStr"/>
    </row>
    <row r="23">
      <c r="A23" s="5" t="n">
        <v>2</v>
      </c>
      <c r="B23" s="5" t="n">
        <v>0</v>
      </c>
      <c r="C23" s="5" t="n">
        <v>1</v>
      </c>
      <c r="D23" s="5" t="n">
        <v>2</v>
      </c>
      <c r="E23" s="5" t="n">
        <v>5</v>
      </c>
      <c r="F23" s="9" t="n">
        <v>17</v>
      </c>
      <c r="G23" s="6">
        <f>A23*'⑤ 成長試算'!D14+B23*'⑤ 成長試算'!D11+C23*'⑤ 成長試算'!D8+D23*'⑤ 成長試算'!D5</f>
        <v/>
      </c>
      <c r="H23" s="6">
        <f>A23*'⑤ 成長試算'!D15+B23*'⑤ 成長試算'!D12+C23*'⑤ 成長試算'!D9+D23*'⑤ 成長試算'!D6</f>
        <v/>
      </c>
      <c r="I23" s="6">
        <f>(A23*'⑤ 成長試算'!D16+B23*'⑤ 成長試算'!D13+C23*'⑤ 成長試算'!D10+D23*'⑤ 成長試算'!D7)/E23</f>
        <v/>
      </c>
      <c r="J23" s="6">
        <f>IF('⑤ 成長試算'!M14="—","—",A23*'⑤ 成長試算'!M14+B23*'⑤ 成長試算'!M11+C23*'⑤ 成長試算'!M8+D23*'⑤ 成長試算'!M5)</f>
        <v/>
      </c>
      <c r="K23" s="6">
        <f>IF('⑤ 成長試算'!M15="—","—",A23*'⑤ 成長試算'!M15+B23*'⑤ 成長試算'!M12+C23*'⑤ 成長試算'!M9+D23*'⑤ 成長試算'!M6)</f>
        <v/>
      </c>
      <c r="L23" s="6">
        <f>IF('⑤ 成長試算'!M16="—","—",(A23*'⑤ 成長試算'!M16+B23*'⑤ 成長試算'!M13+C23*'⑤ 成長試算'!M10+D23*'⑤ 成長試算'!M7)/E23)</f>
        <v/>
      </c>
      <c r="M23" s="5" t="inlineStr"/>
    </row>
    <row r="24">
      <c r="A24" s="5" t="n">
        <v>1</v>
      </c>
      <c r="B24" s="5" t="n">
        <v>2</v>
      </c>
      <c r="C24" s="5" t="n">
        <v>0</v>
      </c>
      <c r="D24" s="5" t="n">
        <v>2</v>
      </c>
      <c r="E24" s="5" t="n">
        <v>5</v>
      </c>
      <c r="F24" s="9" t="n">
        <v>17</v>
      </c>
      <c r="G24" s="6">
        <f>A24*'⑤ 成長試算'!D14+B24*'⑤ 成長試算'!D11+C24*'⑤ 成長試算'!D8+D24*'⑤ 成長試算'!D5</f>
        <v/>
      </c>
      <c r="H24" s="6">
        <f>A24*'⑤ 成長試算'!D15+B24*'⑤ 成長試算'!D12+C24*'⑤ 成長試算'!D9+D24*'⑤ 成長試算'!D6</f>
        <v/>
      </c>
      <c r="I24" s="6">
        <f>(A24*'⑤ 成長試算'!D16+B24*'⑤ 成長試算'!D13+C24*'⑤ 成長試算'!D10+D24*'⑤ 成長試算'!D7)/E24</f>
        <v/>
      </c>
      <c r="J24" s="6">
        <f>IF('⑤ 成長試算'!M14="—","—",A24*'⑤ 成長試算'!M14+B24*'⑤ 成長試算'!M11+C24*'⑤ 成長試算'!M8+D24*'⑤ 成長試算'!M5)</f>
        <v/>
      </c>
      <c r="K24" s="6">
        <f>IF('⑤ 成長試算'!M15="—","—",A24*'⑤ 成長試算'!M15+B24*'⑤ 成長試算'!M12+C24*'⑤ 成長試算'!M9+D24*'⑤ 成長試算'!M6)</f>
        <v/>
      </c>
      <c r="L24" s="6">
        <f>IF('⑤ 成長試算'!M16="—","—",(A24*'⑤ 成長試算'!M16+B24*'⑤ 成長試算'!M13+C24*'⑤ 成長試算'!M10+D24*'⑤ 成長試算'!M7)/E24)</f>
        <v/>
      </c>
      <c r="M24" s="5" t="inlineStr"/>
    </row>
    <row r="25">
      <c r="A25" s="5" t="n">
        <v>1</v>
      </c>
      <c r="B25" s="5" t="n">
        <v>1</v>
      </c>
      <c r="C25" s="5" t="n">
        <v>2</v>
      </c>
      <c r="D25" s="5" t="n">
        <v>1</v>
      </c>
      <c r="E25" s="5" t="n">
        <v>5</v>
      </c>
      <c r="F25" s="9" t="n">
        <v>17</v>
      </c>
      <c r="G25" s="6">
        <f>A25*'⑤ 成長試算'!D14+B25*'⑤ 成長試算'!D11+C25*'⑤ 成長試算'!D8+D25*'⑤ 成長試算'!D5</f>
        <v/>
      </c>
      <c r="H25" s="6">
        <f>A25*'⑤ 成長試算'!D15+B25*'⑤ 成長試算'!D12+C25*'⑤ 成長試算'!D9+D25*'⑤ 成長試算'!D6</f>
        <v/>
      </c>
      <c r="I25" s="6">
        <f>(A25*'⑤ 成長試算'!D16+B25*'⑤ 成長試算'!D13+C25*'⑤ 成長試算'!D10+D25*'⑤ 成長試算'!D7)/E25</f>
        <v/>
      </c>
      <c r="J25" s="6">
        <f>IF('⑤ 成長試算'!M14="—","—",A25*'⑤ 成長試算'!M14+B25*'⑤ 成長試算'!M11+C25*'⑤ 成長試算'!M8+D25*'⑤ 成長試算'!M5)</f>
        <v/>
      </c>
      <c r="K25" s="6">
        <f>IF('⑤ 成長試算'!M15="—","—",A25*'⑤ 成長試算'!M15+B25*'⑤ 成長試算'!M12+C25*'⑤ 成長試算'!M9+D25*'⑤ 成長試算'!M6)</f>
        <v/>
      </c>
      <c r="L25" s="6">
        <f>IF('⑤ 成長試算'!M16="—","—",(A25*'⑤ 成長試算'!M16+B25*'⑤ 成長試算'!M13+C25*'⑤ 成長試算'!M10+D25*'⑤ 成長試算'!M7)/E25)</f>
        <v/>
      </c>
      <c r="M25" s="5" t="inlineStr"/>
    </row>
    <row r="26">
      <c r="A26" s="5" t="n">
        <v>1</v>
      </c>
      <c r="B26" s="5" t="n">
        <v>0</v>
      </c>
      <c r="C26" s="5" t="n">
        <v>4</v>
      </c>
      <c r="D26" s="5" t="n">
        <v>0</v>
      </c>
      <c r="E26" s="5" t="n">
        <v>5</v>
      </c>
      <c r="F26" s="9" t="n">
        <v>17</v>
      </c>
      <c r="G26" s="6">
        <f>A26*'⑤ 成長試算'!D14+B26*'⑤ 成長試算'!D11+C26*'⑤ 成長試算'!D8+D26*'⑤ 成長試算'!D5</f>
        <v/>
      </c>
      <c r="H26" s="6">
        <f>A26*'⑤ 成長試算'!D15+B26*'⑤ 成長試算'!D12+C26*'⑤ 成長試算'!D9+D26*'⑤ 成長試算'!D6</f>
        <v/>
      </c>
      <c r="I26" s="6">
        <f>(A26*'⑤ 成長試算'!D16+B26*'⑤ 成長試算'!D13+C26*'⑤ 成長試算'!D10+D26*'⑤ 成長試算'!D7)/E26</f>
        <v/>
      </c>
      <c r="J26" s="6">
        <f>IF('⑤ 成長試算'!M14="—","—",A26*'⑤ 成長試算'!M14+B26*'⑤ 成長試算'!M11+C26*'⑤ 成長試算'!M8+D26*'⑤ 成長試算'!M5)</f>
        <v/>
      </c>
      <c r="K26" s="6">
        <f>IF('⑤ 成長試算'!M15="—","—",A26*'⑤ 成長試算'!M15+B26*'⑤ 成長試算'!M12+C26*'⑤ 成長試算'!M9+D26*'⑤ 成長試算'!M6)</f>
        <v/>
      </c>
      <c r="L26" s="6">
        <f>IF('⑤ 成長試算'!M16="—","—",(A26*'⑤ 成長試算'!M16+B26*'⑤ 成長試算'!M13+C26*'⑤ 成長試算'!M10+D26*'⑤ 成長試算'!M7)/E26)</f>
        <v/>
      </c>
      <c r="M26" s="5" t="inlineStr"/>
    </row>
    <row r="27">
      <c r="A27" s="5" t="n">
        <v>0</v>
      </c>
      <c r="B27" s="5" t="n">
        <v>3</v>
      </c>
      <c r="C27" s="5" t="n">
        <v>1</v>
      </c>
      <c r="D27" s="5" t="n">
        <v>1</v>
      </c>
      <c r="E27" s="5" t="n">
        <v>5</v>
      </c>
      <c r="F27" s="9" t="n">
        <v>17</v>
      </c>
      <c r="G27" s="6">
        <f>A27*'⑤ 成長試算'!D14+B27*'⑤ 成長試算'!D11+C27*'⑤ 成長試算'!D8+D27*'⑤ 成長試算'!D5</f>
        <v/>
      </c>
      <c r="H27" s="6">
        <f>A27*'⑤ 成長試算'!D15+B27*'⑤ 成長試算'!D12+C27*'⑤ 成長試算'!D9+D27*'⑤ 成長試算'!D6</f>
        <v/>
      </c>
      <c r="I27" s="6">
        <f>(A27*'⑤ 成長試算'!D16+B27*'⑤ 成長試算'!D13+C27*'⑤ 成長試算'!D10+D27*'⑤ 成長試算'!D7)/E27</f>
        <v/>
      </c>
      <c r="J27" s="6">
        <f>IF('⑤ 成長試算'!M14="—","—",A27*'⑤ 成長試算'!M14+B27*'⑤ 成長試算'!M11+C27*'⑤ 成長試算'!M8+D27*'⑤ 成長試算'!M5)</f>
        <v/>
      </c>
      <c r="K27" s="6">
        <f>IF('⑤ 成長試算'!M15="—","—",A27*'⑤ 成長試算'!M15+B27*'⑤ 成長試算'!M12+C27*'⑤ 成長試算'!M9+D27*'⑤ 成長試算'!M6)</f>
        <v/>
      </c>
      <c r="L27" s="6">
        <f>IF('⑤ 成長試算'!M16="—","—",(A27*'⑤ 成長試算'!M16+B27*'⑤ 成長試算'!M13+C27*'⑤ 成長試算'!M10+D27*'⑤ 成長試算'!M7)/E27)</f>
        <v/>
      </c>
      <c r="M27" s="5" t="inlineStr"/>
    </row>
    <row r="28">
      <c r="A28" s="5" t="n">
        <v>0</v>
      </c>
      <c r="B28" s="5" t="n">
        <v>2</v>
      </c>
      <c r="C28" s="5" t="n">
        <v>3</v>
      </c>
      <c r="D28" s="5" t="n">
        <v>0</v>
      </c>
      <c r="E28" s="5" t="n">
        <v>5</v>
      </c>
      <c r="F28" s="9" t="n">
        <v>17</v>
      </c>
      <c r="G28" s="6">
        <f>A28*'⑤ 成長試算'!D14+B28*'⑤ 成長試算'!D11+C28*'⑤ 成長試算'!D8+D28*'⑤ 成長試算'!D5</f>
        <v/>
      </c>
      <c r="H28" s="6">
        <f>A28*'⑤ 成長試算'!D15+B28*'⑤ 成長試算'!D12+C28*'⑤ 成長試算'!D9+D28*'⑤ 成長試算'!D6</f>
        <v/>
      </c>
      <c r="I28" s="6">
        <f>(A28*'⑤ 成長試算'!D16+B28*'⑤ 成長試算'!D13+C28*'⑤ 成長試算'!D10+D28*'⑤ 成長試算'!D7)/E28</f>
        <v/>
      </c>
      <c r="J28" s="6">
        <f>IF('⑤ 成長試算'!M14="—","—",A28*'⑤ 成長試算'!M14+B28*'⑤ 成長試算'!M11+C28*'⑤ 成長試算'!M8+D28*'⑤ 成長試算'!M5)</f>
        <v/>
      </c>
      <c r="K28" s="6">
        <f>IF('⑤ 成長試算'!M15="—","—",A28*'⑤ 成長試算'!M15+B28*'⑤ 成長試算'!M12+C28*'⑤ 成長試算'!M9+D28*'⑤ 成長試算'!M6)</f>
        <v/>
      </c>
      <c r="L28" s="6">
        <f>IF('⑤ 成長試算'!M16="—","—",(A28*'⑤ 成長試算'!M16+B28*'⑤ 成長試算'!M13+C28*'⑤ 成長試算'!M10+D28*'⑤ 成長試算'!M7)/E28)</f>
        <v/>
      </c>
      <c r="M28" s="5" t="inlineStr"/>
    </row>
    <row r="29">
      <c r="A29" s="5" t="n">
        <v>2</v>
      </c>
      <c r="B29" s="5" t="n">
        <v>0</v>
      </c>
      <c r="C29" s="5" t="n">
        <v>0</v>
      </c>
      <c r="D29" s="5" t="n">
        <v>3</v>
      </c>
      <c r="E29" s="5" t="n">
        <v>5</v>
      </c>
      <c r="F29" s="9" t="n">
        <v>16</v>
      </c>
      <c r="G29" s="6">
        <f>A29*'⑤ 成長試算'!D14+B29*'⑤ 成長試算'!D11+C29*'⑤ 成長試算'!D8+D29*'⑤ 成長試算'!D5</f>
        <v/>
      </c>
      <c r="H29" s="6">
        <f>A29*'⑤ 成長試算'!D15+B29*'⑤ 成長試算'!D12+C29*'⑤ 成長試算'!D9+D29*'⑤ 成長試算'!D6</f>
        <v/>
      </c>
      <c r="I29" s="6">
        <f>(A29*'⑤ 成長試算'!D16+B29*'⑤ 成長試算'!D13+C29*'⑤ 成長試算'!D10+D29*'⑤ 成長試算'!D7)/E29</f>
        <v/>
      </c>
      <c r="J29" s="6">
        <f>IF('⑤ 成長試算'!M14="—","—",A29*'⑤ 成長試算'!M14+B29*'⑤ 成長試算'!M11+C29*'⑤ 成長試算'!M8+D29*'⑤ 成長試算'!M5)</f>
        <v/>
      </c>
      <c r="K29" s="6">
        <f>IF('⑤ 成長試算'!M15="—","—",A29*'⑤ 成長試算'!M15+B29*'⑤ 成長試算'!M12+C29*'⑤ 成長試算'!M9+D29*'⑤ 成長試算'!M6)</f>
        <v/>
      </c>
      <c r="L29" s="6">
        <f>IF('⑤ 成長試算'!M16="—","—",(A29*'⑤ 成長試算'!M16+B29*'⑤ 成長試算'!M13+C29*'⑤ 成長試算'!M10+D29*'⑤ 成長試算'!M7)/E29)</f>
        <v/>
      </c>
      <c r="M29" s="5" t="inlineStr"/>
    </row>
    <row r="30">
      <c r="A30" s="5" t="n">
        <v>1</v>
      </c>
      <c r="B30" s="5" t="n">
        <v>1</v>
      </c>
      <c r="C30" s="5" t="n">
        <v>1</v>
      </c>
      <c r="D30" s="5" t="n">
        <v>2</v>
      </c>
      <c r="E30" s="5" t="n">
        <v>5</v>
      </c>
      <c r="F30" s="9" t="n">
        <v>16</v>
      </c>
      <c r="G30" s="6">
        <f>A30*'⑤ 成長試算'!D14+B30*'⑤ 成長試算'!D11+C30*'⑤ 成長試算'!D8+D30*'⑤ 成長試算'!D5</f>
        <v/>
      </c>
      <c r="H30" s="6">
        <f>A30*'⑤ 成長試算'!D15+B30*'⑤ 成長試算'!D12+C30*'⑤ 成長試算'!D9+D30*'⑤ 成長試算'!D6</f>
        <v/>
      </c>
      <c r="I30" s="6">
        <f>(A30*'⑤ 成長試算'!D16+B30*'⑤ 成長試算'!D13+C30*'⑤ 成長試算'!D10+D30*'⑤ 成長試算'!D7)/E30</f>
        <v/>
      </c>
      <c r="J30" s="6">
        <f>IF('⑤ 成長試算'!M14="—","—",A30*'⑤ 成長試算'!M14+B30*'⑤ 成長試算'!M11+C30*'⑤ 成長試算'!M8+D30*'⑤ 成長試算'!M5)</f>
        <v/>
      </c>
      <c r="K30" s="6">
        <f>IF('⑤ 成長試算'!M15="—","—",A30*'⑤ 成長試算'!M15+B30*'⑤ 成長試算'!M12+C30*'⑤ 成長試算'!M9+D30*'⑤ 成長試算'!M6)</f>
        <v/>
      </c>
      <c r="L30" s="6">
        <f>IF('⑤ 成長試算'!M16="—","—",(A30*'⑤ 成長試算'!M16+B30*'⑤ 成長試算'!M13+C30*'⑤ 成長試算'!M10+D30*'⑤ 成長試算'!M7)/E30)</f>
        <v/>
      </c>
      <c r="M30" s="5" t="inlineStr"/>
    </row>
    <row r="31">
      <c r="A31" s="5" t="n">
        <v>1</v>
      </c>
      <c r="B31" s="5" t="n">
        <v>0</v>
      </c>
      <c r="C31" s="5" t="n">
        <v>3</v>
      </c>
      <c r="D31" s="5" t="n">
        <v>1</v>
      </c>
      <c r="E31" s="5" t="n">
        <v>5</v>
      </c>
      <c r="F31" s="9" t="n">
        <v>16</v>
      </c>
      <c r="G31" s="6">
        <f>A31*'⑤ 成長試算'!D14+B31*'⑤ 成長試算'!D11+C31*'⑤ 成長試算'!D8+D31*'⑤ 成長試算'!D5</f>
        <v/>
      </c>
      <c r="H31" s="6">
        <f>A31*'⑤ 成長試算'!D15+B31*'⑤ 成長試算'!D12+C31*'⑤ 成長試算'!D9+D31*'⑤ 成長試算'!D6</f>
        <v/>
      </c>
      <c r="I31" s="6">
        <f>(A31*'⑤ 成長試算'!D16+B31*'⑤ 成長試算'!D13+C31*'⑤ 成長試算'!D10+D31*'⑤ 成長試算'!D7)/E31</f>
        <v/>
      </c>
      <c r="J31" s="6">
        <f>IF('⑤ 成長試算'!M14="—","—",A31*'⑤ 成長試算'!M14+B31*'⑤ 成長試算'!M11+C31*'⑤ 成長試算'!M8+D31*'⑤ 成長試算'!M5)</f>
        <v/>
      </c>
      <c r="K31" s="6">
        <f>IF('⑤ 成長試算'!M15="—","—",A31*'⑤ 成長試算'!M15+B31*'⑤ 成長試算'!M12+C31*'⑤ 成長試算'!M9+D31*'⑤ 成長試算'!M6)</f>
        <v/>
      </c>
      <c r="L31" s="6">
        <f>IF('⑤ 成長試算'!M16="—","—",(A31*'⑤ 成長試算'!M16+B31*'⑤ 成長試算'!M13+C31*'⑤ 成長試算'!M10+D31*'⑤ 成長試算'!M7)/E31)</f>
        <v/>
      </c>
      <c r="M31" s="5" t="inlineStr"/>
    </row>
    <row r="32">
      <c r="A32" s="5" t="n">
        <v>0</v>
      </c>
      <c r="B32" s="5" t="n">
        <v>3</v>
      </c>
      <c r="C32" s="5" t="n">
        <v>0</v>
      </c>
      <c r="D32" s="5" t="n">
        <v>2</v>
      </c>
      <c r="E32" s="5" t="n">
        <v>5</v>
      </c>
      <c r="F32" s="9" t="n">
        <v>16</v>
      </c>
      <c r="G32" s="6">
        <f>A32*'⑤ 成長試算'!D14+B32*'⑤ 成長試算'!D11+C32*'⑤ 成長試算'!D8+D32*'⑤ 成長試算'!D5</f>
        <v/>
      </c>
      <c r="H32" s="6">
        <f>A32*'⑤ 成長試算'!D15+B32*'⑤ 成長試算'!D12+C32*'⑤ 成長試算'!D9+D32*'⑤ 成長試算'!D6</f>
        <v/>
      </c>
      <c r="I32" s="6">
        <f>(A32*'⑤ 成長試算'!D16+B32*'⑤ 成長試算'!D13+C32*'⑤ 成長試算'!D10+D32*'⑤ 成長試算'!D7)/E32</f>
        <v/>
      </c>
      <c r="J32" s="6">
        <f>IF('⑤ 成長試算'!M14="—","—",A32*'⑤ 成長試算'!M14+B32*'⑤ 成長試算'!M11+C32*'⑤ 成長試算'!M8+D32*'⑤ 成長試算'!M5)</f>
        <v/>
      </c>
      <c r="K32" s="6">
        <f>IF('⑤ 成長試算'!M15="—","—",A32*'⑤ 成長試算'!M15+B32*'⑤ 成長試算'!M12+C32*'⑤ 成長試算'!M9+D32*'⑤ 成長試算'!M6)</f>
        <v/>
      </c>
      <c r="L32" s="6">
        <f>IF('⑤ 成長試算'!M16="—","—",(A32*'⑤ 成長試算'!M16+B32*'⑤ 成長試算'!M13+C32*'⑤ 成長試算'!M10+D32*'⑤ 成長試算'!M7)/E32)</f>
        <v/>
      </c>
      <c r="M32" s="5" t="inlineStr"/>
    </row>
    <row r="33">
      <c r="A33" s="5" t="n">
        <v>0</v>
      </c>
      <c r="B33" s="5" t="n">
        <v>2</v>
      </c>
      <c r="C33" s="5" t="n">
        <v>2</v>
      </c>
      <c r="D33" s="5" t="n">
        <v>1</v>
      </c>
      <c r="E33" s="5" t="n">
        <v>5</v>
      </c>
      <c r="F33" s="9" t="n">
        <v>16</v>
      </c>
      <c r="G33" s="6">
        <f>A33*'⑤ 成長試算'!D14+B33*'⑤ 成長試算'!D11+C33*'⑤ 成長試算'!D8+D33*'⑤ 成長試算'!D5</f>
        <v/>
      </c>
      <c r="H33" s="6">
        <f>A33*'⑤ 成長試算'!D15+B33*'⑤ 成長試算'!D12+C33*'⑤ 成長試算'!D9+D33*'⑤ 成長試算'!D6</f>
        <v/>
      </c>
      <c r="I33" s="6">
        <f>(A33*'⑤ 成長試算'!D16+B33*'⑤ 成長試算'!D13+C33*'⑤ 成長試算'!D10+D33*'⑤ 成長試算'!D7)/E33</f>
        <v/>
      </c>
      <c r="J33" s="6">
        <f>IF('⑤ 成長試算'!M14="—","—",A33*'⑤ 成長試算'!M14+B33*'⑤ 成長試算'!M11+C33*'⑤ 成長試算'!M8+D33*'⑤ 成長試算'!M5)</f>
        <v/>
      </c>
      <c r="K33" s="6">
        <f>IF('⑤ 成長試算'!M15="—","—",A33*'⑤ 成長試算'!M15+B33*'⑤ 成長試算'!M12+C33*'⑤ 成長試算'!M9+D33*'⑤ 成長試算'!M6)</f>
        <v/>
      </c>
      <c r="L33" s="6">
        <f>IF('⑤ 成長試算'!M16="—","—",(A33*'⑤ 成長試算'!M16+B33*'⑤ 成長試算'!M13+C33*'⑤ 成長試算'!M10+D33*'⑤ 成長試算'!M7)/E33)</f>
        <v/>
      </c>
      <c r="M33" s="5" t="inlineStr"/>
    </row>
    <row r="34">
      <c r="A34" s="5" t="n">
        <v>0</v>
      </c>
      <c r="B34" s="5" t="n">
        <v>1</v>
      </c>
      <c r="C34" s="5" t="n">
        <v>4</v>
      </c>
      <c r="D34" s="5" t="n">
        <v>0</v>
      </c>
      <c r="E34" s="5" t="n">
        <v>5</v>
      </c>
      <c r="F34" s="9" t="n">
        <v>16</v>
      </c>
      <c r="G34" s="6">
        <f>A34*'⑤ 成長試算'!D14+B34*'⑤ 成長試算'!D11+C34*'⑤ 成長試算'!D8+D34*'⑤ 成長試算'!D5</f>
        <v/>
      </c>
      <c r="H34" s="6">
        <f>A34*'⑤ 成長試算'!D15+B34*'⑤ 成長試算'!D12+C34*'⑤ 成長試算'!D9+D34*'⑤ 成長試算'!D6</f>
        <v/>
      </c>
      <c r="I34" s="6">
        <f>(A34*'⑤ 成長試算'!D16+B34*'⑤ 成長試算'!D13+C34*'⑤ 成長試算'!D10+D34*'⑤ 成長試算'!D7)/E34</f>
        <v/>
      </c>
      <c r="J34" s="6">
        <f>IF('⑤ 成長試算'!M14="—","—",A34*'⑤ 成長試算'!M14+B34*'⑤ 成長試算'!M11+C34*'⑤ 成長試算'!M8+D34*'⑤ 成長試算'!M5)</f>
        <v/>
      </c>
      <c r="K34" s="6">
        <f>IF('⑤ 成長試算'!M15="—","—",A34*'⑤ 成長試算'!M15+B34*'⑤ 成長試算'!M12+C34*'⑤ 成長試算'!M9+D34*'⑤ 成長試算'!M6)</f>
        <v/>
      </c>
      <c r="L34" s="6">
        <f>IF('⑤ 成長試算'!M16="—","—",(A34*'⑤ 成長試算'!M16+B34*'⑤ 成長試算'!M13+C34*'⑤ 成長試算'!M10+D34*'⑤ 成長試算'!M7)/E34)</f>
        <v/>
      </c>
      <c r="M34" s="5" t="inlineStr"/>
    </row>
    <row r="35">
      <c r="A35" s="5" t="n">
        <v>1</v>
      </c>
      <c r="B35" s="5" t="n">
        <v>1</v>
      </c>
      <c r="C35" s="5" t="n">
        <v>0</v>
      </c>
      <c r="D35" s="5" t="n">
        <v>3</v>
      </c>
      <c r="E35" s="5" t="n">
        <v>5</v>
      </c>
      <c r="F35" s="9" t="n">
        <v>15</v>
      </c>
      <c r="G35" s="6">
        <f>A35*'⑤ 成長試算'!D14+B35*'⑤ 成長試算'!D11+C35*'⑤ 成長試算'!D8+D35*'⑤ 成長試算'!D5</f>
        <v/>
      </c>
      <c r="H35" s="6">
        <f>A35*'⑤ 成長試算'!D15+B35*'⑤ 成長試算'!D12+C35*'⑤ 成長試算'!D9+D35*'⑤ 成長試算'!D6</f>
        <v/>
      </c>
      <c r="I35" s="6">
        <f>(A35*'⑤ 成長試算'!D16+B35*'⑤ 成長試算'!D13+C35*'⑤ 成長試算'!D10+D35*'⑤ 成長試算'!D7)/E35</f>
        <v/>
      </c>
      <c r="J35" s="6">
        <f>IF('⑤ 成長試算'!M14="—","—",A35*'⑤ 成長試算'!M14+B35*'⑤ 成長試算'!M11+C35*'⑤ 成長試算'!M8+D35*'⑤ 成長試算'!M5)</f>
        <v/>
      </c>
      <c r="K35" s="6">
        <f>IF('⑤ 成長試算'!M15="—","—",A35*'⑤ 成長試算'!M15+B35*'⑤ 成長試算'!M12+C35*'⑤ 成長試算'!M9+D35*'⑤ 成長試算'!M6)</f>
        <v/>
      </c>
      <c r="L35" s="6">
        <f>IF('⑤ 成長試算'!M16="—","—",(A35*'⑤ 成長試算'!M16+B35*'⑤ 成長試算'!M13+C35*'⑤ 成長試算'!M10+D35*'⑤ 成長試算'!M7)/E35)</f>
        <v/>
      </c>
      <c r="M35" s="5" t="inlineStr"/>
    </row>
    <row r="36">
      <c r="A36" s="5" t="n">
        <v>1</v>
      </c>
      <c r="B36" s="5" t="n">
        <v>0</v>
      </c>
      <c r="C36" s="5" t="n">
        <v>2</v>
      </c>
      <c r="D36" s="5" t="n">
        <v>2</v>
      </c>
      <c r="E36" s="5" t="n">
        <v>5</v>
      </c>
      <c r="F36" s="9" t="n">
        <v>15</v>
      </c>
      <c r="G36" s="6">
        <f>A36*'⑤ 成長試算'!D14+B36*'⑤ 成長試算'!D11+C36*'⑤ 成長試算'!D8+D36*'⑤ 成長試算'!D5</f>
        <v/>
      </c>
      <c r="H36" s="6">
        <f>A36*'⑤ 成長試算'!D15+B36*'⑤ 成長試算'!D12+C36*'⑤ 成長試算'!D9+D36*'⑤ 成長試算'!D6</f>
        <v/>
      </c>
      <c r="I36" s="6">
        <f>(A36*'⑤ 成長試算'!D16+B36*'⑤ 成長試算'!D13+C36*'⑤ 成長試算'!D10+D36*'⑤ 成長試算'!D7)/E36</f>
        <v/>
      </c>
      <c r="J36" s="6">
        <f>IF('⑤ 成長試算'!M14="—","—",A36*'⑤ 成長試算'!M14+B36*'⑤ 成長試算'!M11+C36*'⑤ 成長試算'!M8+D36*'⑤ 成長試算'!M5)</f>
        <v/>
      </c>
      <c r="K36" s="6">
        <f>IF('⑤ 成長試算'!M15="—","—",A36*'⑤ 成長試算'!M15+B36*'⑤ 成長試算'!M12+C36*'⑤ 成長試算'!M9+D36*'⑤ 成長試算'!M6)</f>
        <v/>
      </c>
      <c r="L36" s="6">
        <f>IF('⑤ 成長試算'!M16="—","—",(A36*'⑤ 成長試算'!M16+B36*'⑤ 成長試算'!M13+C36*'⑤ 成長試算'!M10+D36*'⑤ 成長試算'!M7)/E36)</f>
        <v/>
      </c>
      <c r="M36" s="5" t="inlineStr"/>
    </row>
    <row r="37">
      <c r="A37" s="5" t="n">
        <v>0</v>
      </c>
      <c r="B37" s="5" t="n">
        <v>2</v>
      </c>
      <c r="C37" s="5" t="n">
        <v>1</v>
      </c>
      <c r="D37" s="5" t="n">
        <v>2</v>
      </c>
      <c r="E37" s="5" t="n">
        <v>5</v>
      </c>
      <c r="F37" s="9" t="n">
        <v>15</v>
      </c>
      <c r="G37" s="6">
        <f>A37*'⑤ 成長試算'!D14+B37*'⑤ 成長試算'!D11+C37*'⑤ 成長試算'!D8+D37*'⑤ 成長試算'!D5</f>
        <v/>
      </c>
      <c r="H37" s="6">
        <f>A37*'⑤ 成長試算'!D15+B37*'⑤ 成長試算'!D12+C37*'⑤ 成長試算'!D9+D37*'⑤ 成長試算'!D6</f>
        <v/>
      </c>
      <c r="I37" s="6">
        <f>(A37*'⑤ 成長試算'!D16+B37*'⑤ 成長試算'!D13+C37*'⑤ 成長試算'!D10+D37*'⑤ 成長試算'!D7)/E37</f>
        <v/>
      </c>
      <c r="J37" s="6">
        <f>IF('⑤ 成長試算'!M14="—","—",A37*'⑤ 成長試算'!M14+B37*'⑤ 成長試算'!M11+C37*'⑤ 成長試算'!M8+D37*'⑤ 成長試算'!M5)</f>
        <v/>
      </c>
      <c r="K37" s="6">
        <f>IF('⑤ 成長試算'!M15="—","—",A37*'⑤ 成長試算'!M15+B37*'⑤ 成長試算'!M12+C37*'⑤ 成長試算'!M9+D37*'⑤ 成長試算'!M6)</f>
        <v/>
      </c>
      <c r="L37" s="6">
        <f>IF('⑤ 成長試算'!M16="—","—",(A37*'⑤ 成長試算'!M16+B37*'⑤ 成長試算'!M13+C37*'⑤ 成長試算'!M10+D37*'⑤ 成長試算'!M7)/E37)</f>
        <v/>
      </c>
      <c r="M37" s="5" t="inlineStr"/>
    </row>
    <row r="38">
      <c r="A38" s="5" t="n">
        <v>0</v>
      </c>
      <c r="B38" s="5" t="n">
        <v>1</v>
      </c>
      <c r="C38" s="5" t="n">
        <v>3</v>
      </c>
      <c r="D38" s="5" t="n">
        <v>1</v>
      </c>
      <c r="E38" s="5" t="n">
        <v>5</v>
      </c>
      <c r="F38" s="9" t="n">
        <v>15</v>
      </c>
      <c r="G38" s="6">
        <f>A38*'⑤ 成長試算'!D14+B38*'⑤ 成長試算'!D11+C38*'⑤ 成長試算'!D8+D38*'⑤ 成長試算'!D5</f>
        <v/>
      </c>
      <c r="H38" s="6">
        <f>A38*'⑤ 成長試算'!D15+B38*'⑤ 成長試算'!D12+C38*'⑤ 成長試算'!D9+D38*'⑤ 成長試算'!D6</f>
        <v/>
      </c>
      <c r="I38" s="6">
        <f>(A38*'⑤ 成長試算'!D16+B38*'⑤ 成長試算'!D13+C38*'⑤ 成長試算'!D10+D38*'⑤ 成長試算'!D7)/E38</f>
        <v/>
      </c>
      <c r="J38" s="6">
        <f>IF('⑤ 成長試算'!M14="—","—",A38*'⑤ 成長試算'!M14+B38*'⑤ 成長試算'!M11+C38*'⑤ 成長試算'!M8+D38*'⑤ 成長試算'!M5)</f>
        <v/>
      </c>
      <c r="K38" s="6">
        <f>IF('⑤ 成長試算'!M15="—","—",A38*'⑤ 成長試算'!M15+B38*'⑤ 成長試算'!M12+C38*'⑤ 成長試算'!M9+D38*'⑤ 成長試算'!M6)</f>
        <v/>
      </c>
      <c r="L38" s="6">
        <f>IF('⑤ 成長試算'!M16="—","—",(A38*'⑤ 成長試算'!M16+B38*'⑤ 成長試算'!M13+C38*'⑤ 成長試算'!M10+D38*'⑤ 成長試算'!M7)/E38)</f>
        <v/>
      </c>
      <c r="M38" s="5" t="inlineStr"/>
    </row>
    <row r="39">
      <c r="A39" s="5" t="n">
        <v>0</v>
      </c>
      <c r="B39" s="5" t="n">
        <v>0</v>
      </c>
      <c r="C39" s="5" t="n">
        <v>5</v>
      </c>
      <c r="D39" s="5" t="n">
        <v>0</v>
      </c>
      <c r="E39" s="5" t="n">
        <v>5</v>
      </c>
      <c r="F39" s="9" t="n">
        <v>15</v>
      </c>
      <c r="G39" s="6">
        <f>A39*'⑤ 成長試算'!D14+B39*'⑤ 成長試算'!D11+C39*'⑤ 成長試算'!D8+D39*'⑤ 成長試算'!D5</f>
        <v/>
      </c>
      <c r="H39" s="6">
        <f>A39*'⑤ 成長試算'!D15+B39*'⑤ 成長試算'!D12+C39*'⑤ 成長試算'!D9+D39*'⑤ 成長試算'!D6</f>
        <v/>
      </c>
      <c r="I39" s="6">
        <f>(A39*'⑤ 成長試算'!D16+B39*'⑤ 成長試算'!D13+C39*'⑤ 成長試算'!D10+D39*'⑤ 成長試算'!D7)/E39</f>
        <v/>
      </c>
      <c r="J39" s="6">
        <f>IF('⑤ 成長試算'!M14="—","—",A39*'⑤ 成長試算'!M14+B39*'⑤ 成長試算'!M11+C39*'⑤ 成長試算'!M8+D39*'⑤ 成長試算'!M5)</f>
        <v/>
      </c>
      <c r="K39" s="6">
        <f>IF('⑤ 成長試算'!M15="—","—",A39*'⑤ 成長試算'!M15+B39*'⑤ 成長試算'!M12+C39*'⑤ 成長試算'!M9+D39*'⑤ 成長試算'!M6)</f>
        <v/>
      </c>
      <c r="L39" s="6">
        <f>IF('⑤ 成長試算'!M16="—","—",(A39*'⑤ 成長試算'!M16+B39*'⑤ 成長試算'!M13+C39*'⑤ 成長試算'!M10+D39*'⑤ 成長試算'!M7)/E39)</f>
        <v/>
      </c>
      <c r="M39" s="5" t="inlineStr"/>
    </row>
    <row r="40">
      <c r="A40" s="5" t="n">
        <v>1</v>
      </c>
      <c r="B40" s="5" t="n">
        <v>0</v>
      </c>
      <c r="C40" s="5" t="n">
        <v>1</v>
      </c>
      <c r="D40" s="5" t="n">
        <v>3</v>
      </c>
      <c r="E40" s="5" t="n">
        <v>5</v>
      </c>
      <c r="F40" s="9" t="n">
        <v>14</v>
      </c>
      <c r="G40" s="6">
        <f>A40*'⑤ 成長試算'!D14+B40*'⑤ 成長試算'!D11+C40*'⑤ 成長試算'!D8+D40*'⑤ 成長試算'!D5</f>
        <v/>
      </c>
      <c r="H40" s="6">
        <f>A40*'⑤ 成長試算'!D15+B40*'⑤ 成長試算'!D12+C40*'⑤ 成長試算'!D9+D40*'⑤ 成長試算'!D6</f>
        <v/>
      </c>
      <c r="I40" s="6">
        <f>(A40*'⑤ 成長試算'!D16+B40*'⑤ 成長試算'!D13+C40*'⑤ 成長試算'!D10+D40*'⑤ 成長試算'!D7)/E40</f>
        <v/>
      </c>
      <c r="J40" s="6">
        <f>IF('⑤ 成長試算'!M14="—","—",A40*'⑤ 成長試算'!M14+B40*'⑤ 成長試算'!M11+C40*'⑤ 成長試算'!M8+D40*'⑤ 成長試算'!M5)</f>
        <v/>
      </c>
      <c r="K40" s="6">
        <f>IF('⑤ 成長試算'!M15="—","—",A40*'⑤ 成長試算'!M15+B40*'⑤ 成長試算'!M12+C40*'⑤ 成長試算'!M9+D40*'⑤ 成長試算'!M6)</f>
        <v/>
      </c>
      <c r="L40" s="6">
        <f>IF('⑤ 成長試算'!M16="—","—",(A40*'⑤ 成長試算'!M16+B40*'⑤ 成長試算'!M13+C40*'⑤ 成長試算'!M10+D40*'⑤ 成長試算'!M7)/E40)</f>
        <v/>
      </c>
      <c r="M40" s="5" t="inlineStr"/>
    </row>
    <row r="41">
      <c r="A41" s="5" t="n">
        <v>0</v>
      </c>
      <c r="B41" s="5" t="n">
        <v>2</v>
      </c>
      <c r="C41" s="5" t="n">
        <v>0</v>
      </c>
      <c r="D41" s="5" t="n">
        <v>3</v>
      </c>
      <c r="E41" s="5" t="n">
        <v>5</v>
      </c>
      <c r="F41" s="9" t="n">
        <v>14</v>
      </c>
      <c r="G41" s="6">
        <f>A41*'⑤ 成長試算'!D14+B41*'⑤ 成長試算'!D11+C41*'⑤ 成長試算'!D8+D41*'⑤ 成長試算'!D5</f>
        <v/>
      </c>
      <c r="H41" s="6">
        <f>A41*'⑤ 成長試算'!D15+B41*'⑤ 成長試算'!D12+C41*'⑤ 成長試算'!D9+D41*'⑤ 成長試算'!D6</f>
        <v/>
      </c>
      <c r="I41" s="6">
        <f>(A41*'⑤ 成長試算'!D16+B41*'⑤ 成長試算'!D13+C41*'⑤ 成長試算'!D10+D41*'⑤ 成長試算'!D7)/E41</f>
        <v/>
      </c>
      <c r="J41" s="6">
        <f>IF('⑤ 成長試算'!M14="—","—",A41*'⑤ 成長試算'!M14+B41*'⑤ 成長試算'!M11+C41*'⑤ 成長試算'!M8+D41*'⑤ 成長試算'!M5)</f>
        <v/>
      </c>
      <c r="K41" s="6">
        <f>IF('⑤ 成長試算'!M15="—","—",A41*'⑤ 成長試算'!M15+B41*'⑤ 成長試算'!M12+C41*'⑤ 成長試算'!M9+D41*'⑤ 成長試算'!M6)</f>
        <v/>
      </c>
      <c r="L41" s="6">
        <f>IF('⑤ 成長試算'!M16="—","—",(A41*'⑤ 成長試算'!M16+B41*'⑤ 成長試算'!M13+C41*'⑤ 成長試算'!M10+D41*'⑤ 成長試算'!M7)/E41)</f>
        <v/>
      </c>
      <c r="M41" s="5" t="inlineStr"/>
    </row>
    <row r="42">
      <c r="A42" s="5" t="n">
        <v>0</v>
      </c>
      <c r="B42" s="5" t="n">
        <v>1</v>
      </c>
      <c r="C42" s="5" t="n">
        <v>2</v>
      </c>
      <c r="D42" s="5" t="n">
        <v>2</v>
      </c>
      <c r="E42" s="5" t="n">
        <v>5</v>
      </c>
      <c r="F42" s="9" t="n">
        <v>14</v>
      </c>
      <c r="G42" s="6">
        <f>A42*'⑤ 成長試算'!D14+B42*'⑤ 成長試算'!D11+C42*'⑤ 成長試算'!D8+D42*'⑤ 成長試算'!D5</f>
        <v/>
      </c>
      <c r="H42" s="6">
        <f>A42*'⑤ 成長試算'!D15+B42*'⑤ 成長試算'!D12+C42*'⑤ 成長試算'!D9+D42*'⑤ 成長試算'!D6</f>
        <v/>
      </c>
      <c r="I42" s="6">
        <f>(A42*'⑤ 成長試算'!D16+B42*'⑤ 成長試算'!D13+C42*'⑤ 成長試算'!D10+D42*'⑤ 成長試算'!D7)/E42</f>
        <v/>
      </c>
      <c r="J42" s="6">
        <f>IF('⑤ 成長試算'!M14="—","—",A42*'⑤ 成長試算'!M14+B42*'⑤ 成長試算'!M11+C42*'⑤ 成長試算'!M8+D42*'⑤ 成長試算'!M5)</f>
        <v/>
      </c>
      <c r="K42" s="6">
        <f>IF('⑤ 成長試算'!M15="—","—",A42*'⑤ 成長試算'!M15+B42*'⑤ 成長試算'!M12+C42*'⑤ 成長試算'!M9+D42*'⑤ 成長試算'!M6)</f>
        <v/>
      </c>
      <c r="L42" s="6">
        <f>IF('⑤ 成長試算'!M16="—","—",(A42*'⑤ 成長試算'!M16+B42*'⑤ 成長試算'!M13+C42*'⑤ 成長試算'!M10+D42*'⑤ 成長試算'!M7)/E42)</f>
        <v/>
      </c>
      <c r="M42" s="5" t="inlineStr"/>
    </row>
    <row r="43">
      <c r="A43" s="5" t="n">
        <v>0</v>
      </c>
      <c r="B43" s="5" t="n">
        <v>0</v>
      </c>
      <c r="C43" s="5" t="n">
        <v>4</v>
      </c>
      <c r="D43" s="5" t="n">
        <v>1</v>
      </c>
      <c r="E43" s="5" t="n">
        <v>5</v>
      </c>
      <c r="F43" s="9" t="n">
        <v>14</v>
      </c>
      <c r="G43" s="6">
        <f>A43*'⑤ 成長試算'!D14+B43*'⑤ 成長試算'!D11+C43*'⑤ 成長試算'!D8+D43*'⑤ 成長試算'!D5</f>
        <v/>
      </c>
      <c r="H43" s="6">
        <f>A43*'⑤ 成長試算'!D15+B43*'⑤ 成長試算'!D12+C43*'⑤ 成長試算'!D9+D43*'⑤ 成長試算'!D6</f>
        <v/>
      </c>
      <c r="I43" s="6">
        <f>(A43*'⑤ 成長試算'!D16+B43*'⑤ 成長試算'!D13+C43*'⑤ 成長試算'!D10+D43*'⑤ 成長試算'!D7)/E43</f>
        <v/>
      </c>
      <c r="J43" s="6">
        <f>IF('⑤ 成長試算'!M14="—","—",A43*'⑤ 成長試算'!M14+B43*'⑤ 成長試算'!M11+C43*'⑤ 成長試算'!M8+D43*'⑤ 成長試算'!M5)</f>
        <v/>
      </c>
      <c r="K43" s="6">
        <f>IF('⑤ 成長試算'!M15="—","—",A43*'⑤ 成長試算'!M15+B43*'⑤ 成長試算'!M12+C43*'⑤ 成長試算'!M9+D43*'⑤ 成長試算'!M6)</f>
        <v/>
      </c>
      <c r="L43" s="6">
        <f>IF('⑤ 成長試算'!M16="—","—",(A43*'⑤ 成長試算'!M16+B43*'⑤ 成長試算'!M13+C43*'⑤ 成長試算'!M10+D43*'⑤ 成長試算'!M7)/E43)</f>
        <v/>
      </c>
      <c r="M43" s="5" t="inlineStr"/>
    </row>
    <row r="44">
      <c r="A44" s="5" t="n">
        <v>1</v>
      </c>
      <c r="B44" s="5" t="n">
        <v>0</v>
      </c>
      <c r="C44" s="5" t="n">
        <v>0</v>
      </c>
      <c r="D44" s="5" t="n">
        <v>4</v>
      </c>
      <c r="E44" s="5" t="n">
        <v>5</v>
      </c>
      <c r="F44" s="9" t="n">
        <v>13</v>
      </c>
      <c r="G44" s="6">
        <f>A44*'⑤ 成長試算'!D14+B44*'⑤ 成長試算'!D11+C44*'⑤ 成長試算'!D8+D44*'⑤ 成長試算'!D5</f>
        <v/>
      </c>
      <c r="H44" s="6">
        <f>A44*'⑤ 成長試算'!D15+B44*'⑤ 成長試算'!D12+C44*'⑤ 成長試算'!D9+D44*'⑤ 成長試算'!D6</f>
        <v/>
      </c>
      <c r="I44" s="6">
        <f>(A44*'⑤ 成長試算'!D16+B44*'⑤ 成長試算'!D13+C44*'⑤ 成長試算'!D10+D44*'⑤ 成長試算'!D7)/E44</f>
        <v/>
      </c>
      <c r="J44" s="6">
        <f>IF('⑤ 成長試算'!M14="—","—",A44*'⑤ 成長試算'!M14+B44*'⑤ 成長試算'!M11+C44*'⑤ 成長試算'!M8+D44*'⑤ 成長試算'!M5)</f>
        <v/>
      </c>
      <c r="K44" s="6">
        <f>IF('⑤ 成長試算'!M15="—","—",A44*'⑤ 成長試算'!M15+B44*'⑤ 成長試算'!M12+C44*'⑤ 成長試算'!M9+D44*'⑤ 成長試算'!M6)</f>
        <v/>
      </c>
      <c r="L44" s="6">
        <f>IF('⑤ 成長試算'!M16="—","—",(A44*'⑤ 成長試算'!M16+B44*'⑤ 成長試算'!M13+C44*'⑤ 成長試算'!M10+D44*'⑤ 成長試算'!M7)/E44)</f>
        <v/>
      </c>
      <c r="M44" s="5" t="inlineStr"/>
    </row>
    <row r="45">
      <c r="A45" s="5" t="n">
        <v>0</v>
      </c>
      <c r="B45" s="5" t="n">
        <v>1</v>
      </c>
      <c r="C45" s="5" t="n">
        <v>1</v>
      </c>
      <c r="D45" s="5" t="n">
        <v>3</v>
      </c>
      <c r="E45" s="5" t="n">
        <v>5</v>
      </c>
      <c r="F45" s="9" t="n">
        <v>13</v>
      </c>
      <c r="G45" s="6">
        <f>A45*'⑤ 成長試算'!D14+B45*'⑤ 成長試算'!D11+C45*'⑤ 成長試算'!D8+D45*'⑤ 成長試算'!D5</f>
        <v/>
      </c>
      <c r="H45" s="6">
        <f>A45*'⑤ 成長試算'!D15+B45*'⑤ 成長試算'!D12+C45*'⑤ 成長試算'!D9+D45*'⑤ 成長試算'!D6</f>
        <v/>
      </c>
      <c r="I45" s="6">
        <f>(A45*'⑤ 成長試算'!D16+B45*'⑤ 成長試算'!D13+C45*'⑤ 成長試算'!D10+D45*'⑤ 成長試算'!D7)/E45</f>
        <v/>
      </c>
      <c r="J45" s="6">
        <f>IF('⑤ 成長試算'!M14="—","—",A45*'⑤ 成長試算'!M14+B45*'⑤ 成長試算'!M11+C45*'⑤ 成長試算'!M8+D45*'⑤ 成長試算'!M5)</f>
        <v/>
      </c>
      <c r="K45" s="6">
        <f>IF('⑤ 成長試算'!M15="—","—",A45*'⑤ 成長試算'!M15+B45*'⑤ 成長試算'!M12+C45*'⑤ 成長試算'!M9+D45*'⑤ 成長試算'!M6)</f>
        <v/>
      </c>
      <c r="L45" s="6">
        <f>IF('⑤ 成長試算'!M16="—","—",(A45*'⑤ 成長試算'!M16+B45*'⑤ 成長試算'!M13+C45*'⑤ 成長試算'!M10+D45*'⑤ 成長試算'!M7)/E45)</f>
        <v/>
      </c>
      <c r="M45" s="5" t="inlineStr"/>
    </row>
    <row r="46">
      <c r="A46" s="5" t="n">
        <v>0</v>
      </c>
      <c r="B46" s="5" t="n">
        <v>0</v>
      </c>
      <c r="C46" s="5" t="n">
        <v>3</v>
      </c>
      <c r="D46" s="5" t="n">
        <v>2</v>
      </c>
      <c r="E46" s="5" t="n">
        <v>5</v>
      </c>
      <c r="F46" s="9" t="n">
        <v>13</v>
      </c>
      <c r="G46" s="6">
        <f>A46*'⑤ 成長試算'!D14+B46*'⑤ 成長試算'!D11+C46*'⑤ 成長試算'!D8+D46*'⑤ 成長試算'!D5</f>
        <v/>
      </c>
      <c r="H46" s="6">
        <f>A46*'⑤ 成長試算'!D15+B46*'⑤ 成長試算'!D12+C46*'⑤ 成長試算'!D9+D46*'⑤ 成長試算'!D6</f>
        <v/>
      </c>
      <c r="I46" s="6">
        <f>(A46*'⑤ 成長試算'!D16+B46*'⑤ 成長試算'!D13+C46*'⑤ 成長試算'!D10+D46*'⑤ 成長試算'!D7)/E46</f>
        <v/>
      </c>
      <c r="J46" s="6">
        <f>IF('⑤ 成長試算'!M14="—","—",A46*'⑤ 成長試算'!M14+B46*'⑤ 成長試算'!M11+C46*'⑤ 成長試算'!M8+D46*'⑤ 成長試算'!M5)</f>
        <v/>
      </c>
      <c r="K46" s="6">
        <f>IF('⑤ 成長試算'!M15="—","—",A46*'⑤ 成長試算'!M15+B46*'⑤ 成長試算'!M12+C46*'⑤ 成長試算'!M9+D46*'⑤ 成長試算'!M6)</f>
        <v/>
      </c>
      <c r="L46" s="6">
        <f>IF('⑤ 成長試算'!M16="—","—",(A46*'⑤ 成長試算'!M16+B46*'⑤ 成長試算'!M13+C46*'⑤ 成長試算'!M10+D46*'⑤ 成長試算'!M7)/E46)</f>
        <v/>
      </c>
      <c r="M46" s="5" t="inlineStr"/>
    </row>
    <row r="47">
      <c r="A47" s="5" t="n">
        <v>0</v>
      </c>
      <c r="B47" s="5" t="n">
        <v>1</v>
      </c>
      <c r="C47" s="5" t="n">
        <v>0</v>
      </c>
      <c r="D47" s="5" t="n">
        <v>4</v>
      </c>
      <c r="E47" s="5" t="n">
        <v>5</v>
      </c>
      <c r="F47" s="9" t="n">
        <v>12</v>
      </c>
      <c r="G47" s="6">
        <f>A47*'⑤ 成長試算'!D14+B47*'⑤ 成長試算'!D11+C47*'⑤ 成長試算'!D8+D47*'⑤ 成長試算'!D5</f>
        <v/>
      </c>
      <c r="H47" s="6">
        <f>A47*'⑤ 成長試算'!D15+B47*'⑤ 成長試算'!D12+C47*'⑤ 成長試算'!D9+D47*'⑤ 成長試算'!D6</f>
        <v/>
      </c>
      <c r="I47" s="6">
        <f>(A47*'⑤ 成長試算'!D16+B47*'⑤ 成長試算'!D13+C47*'⑤ 成長試算'!D10+D47*'⑤ 成長試算'!D7)/E47</f>
        <v/>
      </c>
      <c r="J47" s="6">
        <f>IF('⑤ 成長試算'!M14="—","—",A47*'⑤ 成長試算'!M14+B47*'⑤ 成長試算'!M11+C47*'⑤ 成長試算'!M8+D47*'⑤ 成長試算'!M5)</f>
        <v/>
      </c>
      <c r="K47" s="6">
        <f>IF('⑤ 成長試算'!M15="—","—",A47*'⑤ 成長試算'!M15+B47*'⑤ 成長試算'!M12+C47*'⑤ 成長試算'!M9+D47*'⑤ 成長試算'!M6)</f>
        <v/>
      </c>
      <c r="L47" s="6">
        <f>IF('⑤ 成長試算'!M16="—","—",(A47*'⑤ 成長試算'!M16+B47*'⑤ 成長試算'!M13+C47*'⑤ 成長試算'!M10+D47*'⑤ 成長試算'!M7)/E47)</f>
        <v/>
      </c>
      <c r="M47" s="5" t="inlineStr"/>
    </row>
    <row r="48">
      <c r="A48" s="5" t="n">
        <v>0</v>
      </c>
      <c r="B48" s="5" t="n">
        <v>0</v>
      </c>
      <c r="C48" s="5" t="n">
        <v>2</v>
      </c>
      <c r="D48" s="5" t="n">
        <v>3</v>
      </c>
      <c r="E48" s="5" t="n">
        <v>5</v>
      </c>
      <c r="F48" s="9" t="n">
        <v>12</v>
      </c>
      <c r="G48" s="6">
        <f>A48*'⑤ 成長試算'!D14+B48*'⑤ 成長試算'!D11+C48*'⑤ 成長試算'!D8+D48*'⑤ 成長試算'!D5</f>
        <v/>
      </c>
      <c r="H48" s="6">
        <f>A48*'⑤ 成長試算'!D15+B48*'⑤ 成長試算'!D12+C48*'⑤ 成長試算'!D9+D48*'⑤ 成長試算'!D6</f>
        <v/>
      </c>
      <c r="I48" s="6">
        <f>(A48*'⑤ 成長試算'!D16+B48*'⑤ 成長試算'!D13+C48*'⑤ 成長試算'!D10+D48*'⑤ 成長試算'!D7)/E48</f>
        <v/>
      </c>
      <c r="J48" s="6">
        <f>IF('⑤ 成長試算'!M14="—","—",A48*'⑤ 成長試算'!M14+B48*'⑤ 成長試算'!M11+C48*'⑤ 成長試算'!M8+D48*'⑤ 成長試算'!M5)</f>
        <v/>
      </c>
      <c r="K48" s="6">
        <f>IF('⑤ 成長試算'!M15="—","—",A48*'⑤ 成長試算'!M15+B48*'⑤ 成長試算'!M12+C48*'⑤ 成長試算'!M9+D48*'⑤ 成長試算'!M6)</f>
        <v/>
      </c>
      <c r="L48" s="6">
        <f>IF('⑤ 成長試算'!M16="—","—",(A48*'⑤ 成長試算'!M16+B48*'⑤ 成長試算'!M13+C48*'⑤ 成長試算'!M10+D48*'⑤ 成長試算'!M7)/E48)</f>
        <v/>
      </c>
      <c r="M48" s="5" t="inlineStr"/>
    </row>
    <row r="49">
      <c r="A49" s="5" t="n">
        <v>0</v>
      </c>
      <c r="B49" s="5" t="n">
        <v>0</v>
      </c>
      <c r="C49" s="5" t="n">
        <v>1</v>
      </c>
      <c r="D49" s="5" t="n">
        <v>4</v>
      </c>
      <c r="E49" s="5" t="n">
        <v>5</v>
      </c>
      <c r="F49" s="9" t="n">
        <v>11</v>
      </c>
      <c r="G49" s="6">
        <f>A49*'⑤ 成長試算'!D14+B49*'⑤ 成長試算'!D11+C49*'⑤ 成長試算'!D8+D49*'⑤ 成長試算'!D5</f>
        <v/>
      </c>
      <c r="H49" s="6">
        <f>A49*'⑤ 成長試算'!D15+B49*'⑤ 成長試算'!D12+C49*'⑤ 成長試算'!D9+D49*'⑤ 成長試算'!D6</f>
        <v/>
      </c>
      <c r="I49" s="6">
        <f>(A49*'⑤ 成長試算'!D16+B49*'⑤ 成長試算'!D13+C49*'⑤ 成長試算'!D10+D49*'⑤ 成長試算'!D7)/E49</f>
        <v/>
      </c>
      <c r="J49" s="6">
        <f>IF('⑤ 成長試算'!M14="—","—",A49*'⑤ 成長試算'!M14+B49*'⑤ 成長試算'!M11+C49*'⑤ 成長試算'!M8+D49*'⑤ 成長試算'!M5)</f>
        <v/>
      </c>
      <c r="K49" s="6">
        <f>IF('⑤ 成長試算'!M15="—","—",A49*'⑤ 成長試算'!M15+B49*'⑤ 成長試算'!M12+C49*'⑤ 成長試算'!M9+D49*'⑤ 成長試算'!M6)</f>
        <v/>
      </c>
      <c r="L49" s="6">
        <f>IF('⑤ 成長試算'!M16="—","—",(A49*'⑤ 成長試算'!M16+B49*'⑤ 成長試算'!M13+C49*'⑤ 成長試算'!M10+D49*'⑤ 成長試算'!M7)/E49)</f>
        <v/>
      </c>
      <c r="M49" s="5" t="inlineStr"/>
    </row>
    <row r="50">
      <c r="A50" s="5" t="n">
        <v>0</v>
      </c>
      <c r="B50" s="5" t="n">
        <v>0</v>
      </c>
      <c r="C50" s="5" t="n">
        <v>0</v>
      </c>
      <c r="D50" s="5" t="n">
        <v>5</v>
      </c>
      <c r="E50" s="5" t="n">
        <v>5</v>
      </c>
      <c r="F50" s="9" t="n">
        <v>10</v>
      </c>
      <c r="G50" s="6">
        <f>A50*'⑤ 成長試算'!D14+B50*'⑤ 成長試算'!D11+C50*'⑤ 成長試算'!D8+D50*'⑤ 成長試算'!D5</f>
        <v/>
      </c>
      <c r="H50" s="6">
        <f>A50*'⑤ 成長試算'!D15+B50*'⑤ 成長試算'!D12+C50*'⑤ 成長試算'!D9+D50*'⑤ 成長試算'!D6</f>
        <v/>
      </c>
      <c r="I50" s="6">
        <f>(A50*'⑤ 成長試算'!D16+B50*'⑤ 成長試算'!D13+C50*'⑤ 成長試算'!D10+D50*'⑤ 成長試算'!D7)/E50</f>
        <v/>
      </c>
      <c r="J50" s="6">
        <f>IF('⑤ 成長試算'!M14="—","—",A50*'⑤ 成長試算'!M14+B50*'⑤ 成長試算'!M11+C50*'⑤ 成長試算'!M8+D50*'⑤ 成長試算'!M5)</f>
        <v/>
      </c>
      <c r="K50" s="6">
        <f>IF('⑤ 成長試算'!M15="—","—",A50*'⑤ 成長試算'!M15+B50*'⑤ 成長試算'!M12+C50*'⑤ 成長試算'!M9+D50*'⑤ 成長試算'!M6)</f>
        <v/>
      </c>
      <c r="L50" s="6">
        <f>IF('⑤ 成長試算'!M16="—","—",(A50*'⑤ 成長試算'!M16+B50*'⑤ 成長試算'!M13+C50*'⑤ 成長試算'!M10+D50*'⑤ 成長試算'!M7)/E50)</f>
        <v/>
      </c>
      <c r="M50" s="5" t="inlineStr">
        <is>
          <t>C単一（最安）</t>
        </is>
      </c>
    </row>
    <row r="51">
      <c r="A51" s="5" t="n">
        <v>4</v>
      </c>
      <c r="B51" s="5" t="n">
        <v>0</v>
      </c>
      <c r="C51" s="5" t="n">
        <v>0</v>
      </c>
      <c r="D51" s="5" t="n">
        <v>0</v>
      </c>
      <c r="E51" s="5" t="n">
        <v>4</v>
      </c>
      <c r="F51" s="9" t="n">
        <v>20</v>
      </c>
      <c r="G51" s="6">
        <f>A51*'⑤ 成長試算'!D14+B51*'⑤ 成長試算'!D11+C51*'⑤ 成長試算'!D8+D51*'⑤ 成長試算'!D5</f>
        <v/>
      </c>
      <c r="H51" s="6">
        <f>A51*'⑤ 成長試算'!D15+B51*'⑤ 成長試算'!D12+C51*'⑤ 成長試算'!D9+D51*'⑤ 成長試算'!D6</f>
        <v/>
      </c>
      <c r="I51" s="6">
        <f>(A51*'⑤ 成長試算'!D16+B51*'⑤ 成長試算'!D13+C51*'⑤ 成長試算'!D10+D51*'⑤ 成長試算'!D7)/E51</f>
        <v/>
      </c>
      <c r="J51" s="6">
        <f>IF('⑤ 成長試算'!M14="—","—",A51*'⑤ 成長試算'!M14+B51*'⑤ 成長試算'!M11+C51*'⑤ 成長試算'!M8+D51*'⑤ 成長試算'!M5)</f>
        <v/>
      </c>
      <c r="K51" s="6">
        <f>IF('⑤ 成長試算'!M15="—","—",A51*'⑤ 成長試算'!M15+B51*'⑤ 成長試算'!M12+C51*'⑤ 成長試算'!M9+D51*'⑤ 成長試算'!M6)</f>
        <v/>
      </c>
      <c r="L51" s="6">
        <f>IF('⑤ 成長試算'!M16="—","—",(A51*'⑤ 成長試算'!M16+B51*'⑤ 成長試算'!M13+C51*'⑤ 成長試算'!M10+D51*'⑤ 成長試算'!M7)/E51)</f>
        <v/>
      </c>
      <c r="M51" s="5" t="inlineStr">
        <is>
          <t>S単一</t>
        </is>
      </c>
    </row>
    <row r="52">
      <c r="A52" s="5" t="n">
        <v>3</v>
      </c>
      <c r="B52" s="5" t="n">
        <v>1</v>
      </c>
      <c r="C52" s="5" t="n">
        <v>0</v>
      </c>
      <c r="D52" s="5" t="n">
        <v>0</v>
      </c>
      <c r="E52" s="5" t="n">
        <v>4</v>
      </c>
      <c r="F52" s="9" t="n">
        <v>19</v>
      </c>
      <c r="G52" s="6">
        <f>A52*'⑤ 成長試算'!D14+B52*'⑤ 成長試算'!D11+C52*'⑤ 成長試算'!D8+D52*'⑤ 成長試算'!D5</f>
        <v/>
      </c>
      <c r="H52" s="6">
        <f>A52*'⑤ 成長試算'!D15+B52*'⑤ 成長試算'!D12+C52*'⑤ 成長試算'!D9+D52*'⑤ 成長試算'!D6</f>
        <v/>
      </c>
      <c r="I52" s="6">
        <f>(A52*'⑤ 成長試算'!D16+B52*'⑤ 成長試算'!D13+C52*'⑤ 成長試算'!D10+D52*'⑤ 成長試算'!D7)/E52</f>
        <v/>
      </c>
      <c r="J52" s="6">
        <f>IF('⑤ 成長試算'!M14="—","—",A52*'⑤ 成長試算'!M14+B52*'⑤ 成長試算'!M11+C52*'⑤ 成長試算'!M8+D52*'⑤ 成長試算'!M5)</f>
        <v/>
      </c>
      <c r="K52" s="6">
        <f>IF('⑤ 成長試算'!M15="—","—",A52*'⑤ 成長試算'!M15+B52*'⑤ 成長試算'!M12+C52*'⑤ 成長試算'!M9+D52*'⑤ 成長試算'!M6)</f>
        <v/>
      </c>
      <c r="L52" s="6">
        <f>IF('⑤ 成長試算'!M16="—","—",(A52*'⑤ 成長試算'!M16+B52*'⑤ 成長試算'!M13+C52*'⑤ 成長試算'!M10+D52*'⑤ 成長試算'!M7)/E52)</f>
        <v/>
      </c>
      <c r="M52" s="5" t="inlineStr"/>
    </row>
    <row r="53">
      <c r="A53" s="5" t="n">
        <v>3</v>
      </c>
      <c r="B53" s="5" t="n">
        <v>0</v>
      </c>
      <c r="C53" s="5" t="n">
        <v>1</v>
      </c>
      <c r="D53" s="5" t="n">
        <v>0</v>
      </c>
      <c r="E53" s="5" t="n">
        <v>4</v>
      </c>
      <c r="F53" s="9" t="n">
        <v>18</v>
      </c>
      <c r="G53" s="6">
        <f>A53*'⑤ 成長試算'!D14+B53*'⑤ 成長試算'!D11+C53*'⑤ 成長試算'!D8+D53*'⑤ 成長試算'!D5</f>
        <v/>
      </c>
      <c r="H53" s="6">
        <f>A53*'⑤ 成長試算'!D15+B53*'⑤ 成長試算'!D12+C53*'⑤ 成長試算'!D9+D53*'⑤ 成長試算'!D6</f>
        <v/>
      </c>
      <c r="I53" s="6">
        <f>(A53*'⑤ 成長試算'!D16+B53*'⑤ 成長試算'!D13+C53*'⑤ 成長試算'!D10+D53*'⑤ 成長試算'!D7)/E53</f>
        <v/>
      </c>
      <c r="J53" s="6">
        <f>IF('⑤ 成長試算'!M14="—","—",A53*'⑤ 成長試算'!M14+B53*'⑤ 成長試算'!M11+C53*'⑤ 成長試算'!M8+D53*'⑤ 成長試算'!M5)</f>
        <v/>
      </c>
      <c r="K53" s="6">
        <f>IF('⑤ 成長試算'!M15="—","—",A53*'⑤ 成長試算'!M15+B53*'⑤ 成長試算'!M12+C53*'⑤ 成長試算'!M9+D53*'⑤ 成長試算'!M6)</f>
        <v/>
      </c>
      <c r="L53" s="6">
        <f>IF('⑤ 成長試算'!M16="—","—",(A53*'⑤ 成長試算'!M16+B53*'⑤ 成長試算'!M13+C53*'⑤ 成長試算'!M10+D53*'⑤ 成長試算'!M7)/E53)</f>
        <v/>
      </c>
      <c r="M53" s="5" t="inlineStr"/>
    </row>
    <row r="54">
      <c r="A54" s="5" t="n">
        <v>2</v>
      </c>
      <c r="B54" s="5" t="n">
        <v>2</v>
      </c>
      <c r="C54" s="5" t="n">
        <v>0</v>
      </c>
      <c r="D54" s="5" t="n">
        <v>0</v>
      </c>
      <c r="E54" s="5" t="n">
        <v>4</v>
      </c>
      <c r="F54" s="9" t="n">
        <v>18</v>
      </c>
      <c r="G54" s="6">
        <f>A54*'⑤ 成長試算'!D14+B54*'⑤ 成長試算'!D11+C54*'⑤ 成長試算'!D8+D54*'⑤ 成長試算'!D5</f>
        <v/>
      </c>
      <c r="H54" s="6">
        <f>A54*'⑤ 成長試算'!D15+B54*'⑤ 成長試算'!D12+C54*'⑤ 成長試算'!D9+D54*'⑤ 成長試算'!D6</f>
        <v/>
      </c>
      <c r="I54" s="6">
        <f>(A54*'⑤ 成長試算'!D16+B54*'⑤ 成長試算'!D13+C54*'⑤ 成長試算'!D10+D54*'⑤ 成長試算'!D7)/E54</f>
        <v/>
      </c>
      <c r="J54" s="6">
        <f>IF('⑤ 成長試算'!M14="—","—",A54*'⑤ 成長試算'!M14+B54*'⑤ 成長試算'!M11+C54*'⑤ 成長試算'!M8+D54*'⑤ 成長試算'!M5)</f>
        <v/>
      </c>
      <c r="K54" s="6">
        <f>IF('⑤ 成長試算'!M15="—","—",A54*'⑤ 成長試算'!M15+B54*'⑤ 成長試算'!M12+C54*'⑤ 成長試算'!M9+D54*'⑤ 成長試算'!M6)</f>
        <v/>
      </c>
      <c r="L54" s="6">
        <f>IF('⑤ 成長試算'!M16="—","—",(A54*'⑤ 成長試算'!M16+B54*'⑤ 成長試算'!M13+C54*'⑤ 成長試算'!M10+D54*'⑤ 成長試算'!M7)/E54)</f>
        <v/>
      </c>
      <c r="M54" s="5" t="inlineStr"/>
    </row>
    <row r="55">
      <c r="A55" s="5" t="n">
        <v>3</v>
      </c>
      <c r="B55" s="5" t="n">
        <v>0</v>
      </c>
      <c r="C55" s="5" t="n">
        <v>0</v>
      </c>
      <c r="D55" s="5" t="n">
        <v>1</v>
      </c>
      <c r="E55" s="5" t="n">
        <v>4</v>
      </c>
      <c r="F55" s="9" t="n">
        <v>17</v>
      </c>
      <c r="G55" s="6">
        <f>A55*'⑤ 成長試算'!D14+B55*'⑤ 成長試算'!D11+C55*'⑤ 成長試算'!D8+D55*'⑤ 成長試算'!D5</f>
        <v/>
      </c>
      <c r="H55" s="6">
        <f>A55*'⑤ 成長試算'!D15+B55*'⑤ 成長試算'!D12+C55*'⑤ 成長試算'!D9+D55*'⑤ 成長試算'!D6</f>
        <v/>
      </c>
      <c r="I55" s="6">
        <f>(A55*'⑤ 成長試算'!D16+B55*'⑤ 成長試算'!D13+C55*'⑤ 成長試算'!D10+D55*'⑤ 成長試算'!D7)/E55</f>
        <v/>
      </c>
      <c r="J55" s="6">
        <f>IF('⑤ 成長試算'!M14="—","—",A55*'⑤ 成長試算'!M14+B55*'⑤ 成長試算'!M11+C55*'⑤ 成長試算'!M8+D55*'⑤ 成長試算'!M5)</f>
        <v/>
      </c>
      <c r="K55" s="6">
        <f>IF('⑤ 成長試算'!M15="—","—",A55*'⑤ 成長試算'!M15+B55*'⑤ 成長試算'!M12+C55*'⑤ 成長試算'!M9+D55*'⑤ 成長試算'!M6)</f>
        <v/>
      </c>
      <c r="L55" s="6">
        <f>IF('⑤ 成長試算'!M16="—","—",(A55*'⑤ 成長試算'!M16+B55*'⑤ 成長試算'!M13+C55*'⑤ 成長試算'!M10+D55*'⑤ 成長試算'!M7)/E55)</f>
        <v/>
      </c>
      <c r="M55" s="5" t="inlineStr"/>
    </row>
    <row r="56">
      <c r="A56" s="5" t="n">
        <v>2</v>
      </c>
      <c r="B56" s="5" t="n">
        <v>1</v>
      </c>
      <c r="C56" s="5" t="n">
        <v>1</v>
      </c>
      <c r="D56" s="5" t="n">
        <v>0</v>
      </c>
      <c r="E56" s="5" t="n">
        <v>4</v>
      </c>
      <c r="F56" s="9" t="n">
        <v>17</v>
      </c>
      <c r="G56" s="6">
        <f>A56*'⑤ 成長試算'!D14+B56*'⑤ 成長試算'!D11+C56*'⑤ 成長試算'!D8+D56*'⑤ 成長試算'!D5</f>
        <v/>
      </c>
      <c r="H56" s="6">
        <f>A56*'⑤ 成長試算'!D15+B56*'⑤ 成長試算'!D12+C56*'⑤ 成長試算'!D9+D56*'⑤ 成長試算'!D6</f>
        <v/>
      </c>
      <c r="I56" s="6">
        <f>(A56*'⑤ 成長試算'!D16+B56*'⑤ 成長試算'!D13+C56*'⑤ 成長試算'!D10+D56*'⑤ 成長試算'!D7)/E56</f>
        <v/>
      </c>
      <c r="J56" s="6">
        <f>IF('⑤ 成長試算'!M14="—","—",A56*'⑤ 成長試算'!M14+B56*'⑤ 成長試算'!M11+C56*'⑤ 成長試算'!M8+D56*'⑤ 成長試算'!M5)</f>
        <v/>
      </c>
      <c r="K56" s="6">
        <f>IF('⑤ 成長試算'!M15="—","—",A56*'⑤ 成長試算'!M15+B56*'⑤ 成長試算'!M12+C56*'⑤ 成長試算'!M9+D56*'⑤ 成長試算'!M6)</f>
        <v/>
      </c>
      <c r="L56" s="6">
        <f>IF('⑤ 成長試算'!M16="—","—",(A56*'⑤ 成長試算'!M16+B56*'⑤ 成長試算'!M13+C56*'⑤ 成長試算'!M10+D56*'⑤ 成長試算'!M7)/E56)</f>
        <v/>
      </c>
      <c r="M56" s="5" t="inlineStr"/>
    </row>
    <row r="57">
      <c r="A57" s="5" t="n">
        <v>1</v>
      </c>
      <c r="B57" s="5" t="n">
        <v>3</v>
      </c>
      <c r="C57" s="5" t="n">
        <v>0</v>
      </c>
      <c r="D57" s="5" t="n">
        <v>0</v>
      </c>
      <c r="E57" s="5" t="n">
        <v>4</v>
      </c>
      <c r="F57" s="9" t="n">
        <v>17</v>
      </c>
      <c r="G57" s="6">
        <f>A57*'⑤ 成長試算'!D14+B57*'⑤ 成長試算'!D11+C57*'⑤ 成長試算'!D8+D57*'⑤ 成長試算'!D5</f>
        <v/>
      </c>
      <c r="H57" s="6">
        <f>A57*'⑤ 成長試算'!D15+B57*'⑤ 成長試算'!D12+C57*'⑤ 成長試算'!D9+D57*'⑤ 成長試算'!D6</f>
        <v/>
      </c>
      <c r="I57" s="6">
        <f>(A57*'⑤ 成長試算'!D16+B57*'⑤ 成長試算'!D13+C57*'⑤ 成長試算'!D10+D57*'⑤ 成長試算'!D7)/E57</f>
        <v/>
      </c>
      <c r="J57" s="6">
        <f>IF('⑤ 成長試算'!M14="—","—",A57*'⑤ 成長試算'!M14+B57*'⑤ 成長試算'!M11+C57*'⑤ 成長試算'!M8+D57*'⑤ 成長試算'!M5)</f>
        <v/>
      </c>
      <c r="K57" s="6">
        <f>IF('⑤ 成長試算'!M15="—","—",A57*'⑤ 成長試算'!M15+B57*'⑤ 成長試算'!M12+C57*'⑤ 成長試算'!M9+D57*'⑤ 成長試算'!M6)</f>
        <v/>
      </c>
      <c r="L57" s="6">
        <f>IF('⑤ 成長試算'!M16="—","—",(A57*'⑤ 成長試算'!M16+B57*'⑤ 成長試算'!M13+C57*'⑤ 成長試算'!M10+D57*'⑤ 成長試算'!M7)/E57)</f>
        <v/>
      </c>
      <c r="M57" s="5" t="inlineStr"/>
    </row>
    <row r="58">
      <c r="A58" s="5" t="n">
        <v>2</v>
      </c>
      <c r="B58" s="5" t="n">
        <v>1</v>
      </c>
      <c r="C58" s="5" t="n">
        <v>0</v>
      </c>
      <c r="D58" s="5" t="n">
        <v>1</v>
      </c>
      <c r="E58" s="5" t="n">
        <v>4</v>
      </c>
      <c r="F58" s="9" t="n">
        <v>16</v>
      </c>
      <c r="G58" s="6">
        <f>A58*'⑤ 成長試算'!D14+B58*'⑤ 成長試算'!D11+C58*'⑤ 成長試算'!D8+D58*'⑤ 成長試算'!D5</f>
        <v/>
      </c>
      <c r="H58" s="6">
        <f>A58*'⑤ 成長試算'!D15+B58*'⑤ 成長試算'!D12+C58*'⑤ 成長試算'!D9+D58*'⑤ 成長試算'!D6</f>
        <v/>
      </c>
      <c r="I58" s="6">
        <f>(A58*'⑤ 成長試算'!D16+B58*'⑤ 成長試算'!D13+C58*'⑤ 成長試算'!D10+D58*'⑤ 成長試算'!D7)/E58</f>
        <v/>
      </c>
      <c r="J58" s="6">
        <f>IF('⑤ 成長試算'!M14="—","—",A58*'⑤ 成長試算'!M14+B58*'⑤ 成長試算'!M11+C58*'⑤ 成長試算'!M8+D58*'⑤ 成長試算'!M5)</f>
        <v/>
      </c>
      <c r="K58" s="6">
        <f>IF('⑤ 成長試算'!M15="—","—",A58*'⑤ 成長試算'!M15+B58*'⑤ 成長試算'!M12+C58*'⑤ 成長試算'!M9+D58*'⑤ 成長試算'!M6)</f>
        <v/>
      </c>
      <c r="L58" s="6">
        <f>IF('⑤ 成長試算'!M16="—","—",(A58*'⑤ 成長試算'!M16+B58*'⑤ 成長試算'!M13+C58*'⑤ 成長試算'!M10+D58*'⑤ 成長試算'!M7)/E58)</f>
        <v/>
      </c>
      <c r="M58" s="5" t="inlineStr"/>
    </row>
    <row r="59">
      <c r="A59" s="5" t="n">
        <v>2</v>
      </c>
      <c r="B59" s="5" t="n">
        <v>0</v>
      </c>
      <c r="C59" s="5" t="n">
        <v>2</v>
      </c>
      <c r="D59" s="5" t="n">
        <v>0</v>
      </c>
      <c r="E59" s="5" t="n">
        <v>4</v>
      </c>
      <c r="F59" s="9" t="n">
        <v>16</v>
      </c>
      <c r="G59" s="6">
        <f>A59*'⑤ 成長試算'!D14+B59*'⑤ 成長試算'!D11+C59*'⑤ 成長試算'!D8+D59*'⑤ 成長試算'!D5</f>
        <v/>
      </c>
      <c r="H59" s="6">
        <f>A59*'⑤ 成長試算'!D15+B59*'⑤ 成長試算'!D12+C59*'⑤ 成長試算'!D9+D59*'⑤ 成長試算'!D6</f>
        <v/>
      </c>
      <c r="I59" s="6">
        <f>(A59*'⑤ 成長試算'!D16+B59*'⑤ 成長試算'!D13+C59*'⑤ 成長試算'!D10+D59*'⑤ 成長試算'!D7)/E59</f>
        <v/>
      </c>
      <c r="J59" s="6">
        <f>IF('⑤ 成長試算'!M14="—","—",A59*'⑤ 成長試算'!M14+B59*'⑤ 成長試算'!M11+C59*'⑤ 成長試算'!M8+D59*'⑤ 成長試算'!M5)</f>
        <v/>
      </c>
      <c r="K59" s="6">
        <f>IF('⑤ 成長試算'!M15="—","—",A59*'⑤ 成長試算'!M15+B59*'⑤ 成長試算'!M12+C59*'⑤ 成長試算'!M9+D59*'⑤ 成長試算'!M6)</f>
        <v/>
      </c>
      <c r="L59" s="6">
        <f>IF('⑤ 成長試算'!M16="—","—",(A59*'⑤ 成長試算'!M16+B59*'⑤ 成長試算'!M13+C59*'⑤ 成長試算'!M10+D59*'⑤ 成長試算'!M7)/E59)</f>
        <v/>
      </c>
      <c r="M59" s="5" t="inlineStr"/>
    </row>
    <row r="60">
      <c r="A60" s="5" t="n">
        <v>1</v>
      </c>
      <c r="B60" s="5" t="n">
        <v>2</v>
      </c>
      <c r="C60" s="5" t="n">
        <v>1</v>
      </c>
      <c r="D60" s="5" t="n">
        <v>0</v>
      </c>
      <c r="E60" s="5" t="n">
        <v>4</v>
      </c>
      <c r="F60" s="9" t="n">
        <v>16</v>
      </c>
      <c r="G60" s="6">
        <f>A60*'⑤ 成長試算'!D14+B60*'⑤ 成長試算'!D11+C60*'⑤ 成長試算'!D8+D60*'⑤ 成長試算'!D5</f>
        <v/>
      </c>
      <c r="H60" s="6">
        <f>A60*'⑤ 成長試算'!D15+B60*'⑤ 成長試算'!D12+C60*'⑤ 成長試算'!D9+D60*'⑤ 成長試算'!D6</f>
        <v/>
      </c>
      <c r="I60" s="6">
        <f>(A60*'⑤ 成長試算'!D16+B60*'⑤ 成長試算'!D13+C60*'⑤ 成長試算'!D10+D60*'⑤ 成長試算'!D7)/E60</f>
        <v/>
      </c>
      <c r="J60" s="6">
        <f>IF('⑤ 成長試算'!M14="—","—",A60*'⑤ 成長試算'!M14+B60*'⑤ 成長試算'!M11+C60*'⑤ 成長試算'!M8+D60*'⑤ 成長試算'!M5)</f>
        <v/>
      </c>
      <c r="K60" s="6">
        <f>IF('⑤ 成長試算'!M15="—","—",A60*'⑤ 成長試算'!M15+B60*'⑤ 成長試算'!M12+C60*'⑤ 成長試算'!M9+D60*'⑤ 成長試算'!M6)</f>
        <v/>
      </c>
      <c r="L60" s="6">
        <f>IF('⑤ 成長試算'!M16="—","—",(A60*'⑤ 成長試算'!M16+B60*'⑤ 成長試算'!M13+C60*'⑤ 成長試算'!M10+D60*'⑤ 成長試算'!M7)/E60)</f>
        <v/>
      </c>
      <c r="M60" s="5" t="inlineStr"/>
    </row>
    <row r="61">
      <c r="A61" s="5" t="n">
        <v>0</v>
      </c>
      <c r="B61" s="5" t="n">
        <v>4</v>
      </c>
      <c r="C61" s="5" t="n">
        <v>0</v>
      </c>
      <c r="D61" s="5" t="n">
        <v>0</v>
      </c>
      <c r="E61" s="5" t="n">
        <v>4</v>
      </c>
      <c r="F61" s="9" t="n">
        <v>16</v>
      </c>
      <c r="G61" s="6">
        <f>A61*'⑤ 成長試算'!D14+B61*'⑤ 成長試算'!D11+C61*'⑤ 成長試算'!D8+D61*'⑤ 成長試算'!D5</f>
        <v/>
      </c>
      <c r="H61" s="6">
        <f>A61*'⑤ 成長試算'!D15+B61*'⑤ 成長試算'!D12+C61*'⑤ 成長試算'!D9+D61*'⑤ 成長試算'!D6</f>
        <v/>
      </c>
      <c r="I61" s="6">
        <f>(A61*'⑤ 成長試算'!D16+B61*'⑤ 成長試算'!D13+C61*'⑤ 成長試算'!D10+D61*'⑤ 成長試算'!D7)/E61</f>
        <v/>
      </c>
      <c r="J61" s="6">
        <f>IF('⑤ 成長試算'!M14="—","—",A61*'⑤ 成長試算'!M14+B61*'⑤ 成長試算'!M11+C61*'⑤ 成長試算'!M8+D61*'⑤ 成長試算'!M5)</f>
        <v/>
      </c>
      <c r="K61" s="6">
        <f>IF('⑤ 成長試算'!M15="—","—",A61*'⑤ 成長試算'!M15+B61*'⑤ 成長試算'!M12+C61*'⑤ 成長試算'!M9+D61*'⑤ 成長試算'!M6)</f>
        <v/>
      </c>
      <c r="L61" s="6">
        <f>IF('⑤ 成長試算'!M16="—","—",(A61*'⑤ 成長試算'!M16+B61*'⑤ 成長試算'!M13+C61*'⑤ 成長試算'!M10+D61*'⑤ 成長試算'!M7)/E61)</f>
        <v/>
      </c>
      <c r="M61" s="5" t="inlineStr"/>
    </row>
    <row r="62">
      <c r="A62" s="5" t="n">
        <v>2</v>
      </c>
      <c r="B62" s="5" t="n">
        <v>0</v>
      </c>
      <c r="C62" s="5" t="n">
        <v>1</v>
      </c>
      <c r="D62" s="5" t="n">
        <v>1</v>
      </c>
      <c r="E62" s="5" t="n">
        <v>4</v>
      </c>
      <c r="F62" s="9" t="n">
        <v>15</v>
      </c>
      <c r="G62" s="6">
        <f>A62*'⑤ 成長試算'!D14+B62*'⑤ 成長試算'!D11+C62*'⑤ 成長試算'!D8+D62*'⑤ 成長試算'!D5</f>
        <v/>
      </c>
      <c r="H62" s="6">
        <f>A62*'⑤ 成長試算'!D15+B62*'⑤ 成長試算'!D12+C62*'⑤ 成長試算'!D9+D62*'⑤ 成長試算'!D6</f>
        <v/>
      </c>
      <c r="I62" s="6">
        <f>(A62*'⑤ 成長試算'!D16+B62*'⑤ 成長試算'!D13+C62*'⑤ 成長試算'!D10+D62*'⑤ 成長試算'!D7)/E62</f>
        <v/>
      </c>
      <c r="J62" s="6">
        <f>IF('⑤ 成長試算'!M14="—","—",A62*'⑤ 成長試算'!M14+B62*'⑤ 成長試算'!M11+C62*'⑤ 成長試算'!M8+D62*'⑤ 成長試算'!M5)</f>
        <v/>
      </c>
      <c r="K62" s="6">
        <f>IF('⑤ 成長試算'!M15="—","—",A62*'⑤ 成長試算'!M15+B62*'⑤ 成長試算'!M12+C62*'⑤ 成長試算'!M9+D62*'⑤ 成長試算'!M6)</f>
        <v/>
      </c>
      <c r="L62" s="6">
        <f>IF('⑤ 成長試算'!M16="—","—",(A62*'⑤ 成長試算'!M16+B62*'⑤ 成長試算'!M13+C62*'⑤ 成長試算'!M10+D62*'⑤ 成長試算'!M7)/E62)</f>
        <v/>
      </c>
      <c r="M62" s="5" t="inlineStr"/>
    </row>
    <row r="63">
      <c r="A63" s="5" t="n">
        <v>1</v>
      </c>
      <c r="B63" s="5" t="n">
        <v>2</v>
      </c>
      <c r="C63" s="5" t="n">
        <v>0</v>
      </c>
      <c r="D63" s="5" t="n">
        <v>1</v>
      </c>
      <c r="E63" s="5" t="n">
        <v>4</v>
      </c>
      <c r="F63" s="9" t="n">
        <v>15</v>
      </c>
      <c r="G63" s="6">
        <f>A63*'⑤ 成長試算'!D14+B63*'⑤ 成長試算'!D11+C63*'⑤ 成長試算'!D8+D63*'⑤ 成長試算'!D5</f>
        <v/>
      </c>
      <c r="H63" s="6">
        <f>A63*'⑤ 成長試算'!D15+B63*'⑤ 成長試算'!D12+C63*'⑤ 成長試算'!D9+D63*'⑤ 成長試算'!D6</f>
        <v/>
      </c>
      <c r="I63" s="6">
        <f>(A63*'⑤ 成長試算'!D16+B63*'⑤ 成長試算'!D13+C63*'⑤ 成長試算'!D10+D63*'⑤ 成長試算'!D7)/E63</f>
        <v/>
      </c>
      <c r="J63" s="6">
        <f>IF('⑤ 成長試算'!M14="—","—",A63*'⑤ 成長試算'!M14+B63*'⑤ 成長試算'!M11+C63*'⑤ 成長試算'!M8+D63*'⑤ 成長試算'!M5)</f>
        <v/>
      </c>
      <c r="K63" s="6">
        <f>IF('⑤ 成長試算'!M15="—","—",A63*'⑤ 成長試算'!M15+B63*'⑤ 成長試算'!M12+C63*'⑤ 成長試算'!M9+D63*'⑤ 成長試算'!M6)</f>
        <v/>
      </c>
      <c r="L63" s="6">
        <f>IF('⑤ 成長試算'!M16="—","—",(A63*'⑤ 成長試算'!M16+B63*'⑤ 成長試算'!M13+C63*'⑤ 成長試算'!M10+D63*'⑤ 成長試算'!M7)/E63)</f>
        <v/>
      </c>
      <c r="M63" s="5" t="inlineStr"/>
    </row>
    <row r="64">
      <c r="A64" s="5" t="n">
        <v>1</v>
      </c>
      <c r="B64" s="5" t="n">
        <v>1</v>
      </c>
      <c r="C64" s="5" t="n">
        <v>2</v>
      </c>
      <c r="D64" s="5" t="n">
        <v>0</v>
      </c>
      <c r="E64" s="5" t="n">
        <v>4</v>
      </c>
      <c r="F64" s="9" t="n">
        <v>15</v>
      </c>
      <c r="G64" s="6">
        <f>A64*'⑤ 成長試算'!D14+B64*'⑤ 成長試算'!D11+C64*'⑤ 成長試算'!D8+D64*'⑤ 成長試算'!D5</f>
        <v/>
      </c>
      <c r="H64" s="6">
        <f>A64*'⑤ 成長試算'!D15+B64*'⑤ 成長試算'!D12+C64*'⑤ 成長試算'!D9+D64*'⑤ 成長試算'!D6</f>
        <v/>
      </c>
      <c r="I64" s="6">
        <f>(A64*'⑤ 成長試算'!D16+B64*'⑤ 成長試算'!D13+C64*'⑤ 成長試算'!D10+D64*'⑤ 成長試算'!D7)/E64</f>
        <v/>
      </c>
      <c r="J64" s="6">
        <f>IF('⑤ 成長試算'!M14="—","—",A64*'⑤ 成長試算'!M14+B64*'⑤ 成長試算'!M11+C64*'⑤ 成長試算'!M8+D64*'⑤ 成長試算'!M5)</f>
        <v/>
      </c>
      <c r="K64" s="6">
        <f>IF('⑤ 成長試算'!M15="—","—",A64*'⑤ 成長試算'!M15+B64*'⑤ 成長試算'!M12+C64*'⑤ 成長試算'!M9+D64*'⑤ 成長試算'!M6)</f>
        <v/>
      </c>
      <c r="L64" s="6">
        <f>IF('⑤ 成長試算'!M16="—","—",(A64*'⑤ 成長試算'!M16+B64*'⑤ 成長試算'!M13+C64*'⑤ 成長試算'!M10+D64*'⑤ 成長試算'!M7)/E64)</f>
        <v/>
      </c>
      <c r="M64" s="5" t="inlineStr"/>
    </row>
    <row r="65">
      <c r="A65" s="5" t="n">
        <v>0</v>
      </c>
      <c r="B65" s="5" t="n">
        <v>3</v>
      </c>
      <c r="C65" s="5" t="n">
        <v>1</v>
      </c>
      <c r="D65" s="5" t="n">
        <v>0</v>
      </c>
      <c r="E65" s="5" t="n">
        <v>4</v>
      </c>
      <c r="F65" s="9" t="n">
        <v>15</v>
      </c>
      <c r="G65" s="6">
        <f>A65*'⑤ 成長試算'!D14+B65*'⑤ 成長試算'!D11+C65*'⑤ 成長試算'!D8+D65*'⑤ 成長試算'!D5</f>
        <v/>
      </c>
      <c r="H65" s="6">
        <f>A65*'⑤ 成長試算'!D15+B65*'⑤ 成長試算'!D12+C65*'⑤ 成長試算'!D9+D65*'⑤ 成長試算'!D6</f>
        <v/>
      </c>
      <c r="I65" s="6">
        <f>(A65*'⑤ 成長試算'!D16+B65*'⑤ 成長試算'!D13+C65*'⑤ 成長試算'!D10+D65*'⑤ 成長試算'!D7)/E65</f>
        <v/>
      </c>
      <c r="J65" s="6">
        <f>IF('⑤ 成長試算'!M14="—","—",A65*'⑤ 成長試算'!M14+B65*'⑤ 成長試算'!M11+C65*'⑤ 成長試算'!M8+D65*'⑤ 成長試算'!M5)</f>
        <v/>
      </c>
      <c r="K65" s="6">
        <f>IF('⑤ 成長試算'!M15="—","—",A65*'⑤ 成長試算'!M15+B65*'⑤ 成長試算'!M12+C65*'⑤ 成長試算'!M9+D65*'⑤ 成長試算'!M6)</f>
        <v/>
      </c>
      <c r="L65" s="6">
        <f>IF('⑤ 成長試算'!M16="—","—",(A65*'⑤ 成長試算'!M16+B65*'⑤ 成長試算'!M13+C65*'⑤ 成長試算'!M10+D65*'⑤ 成長試算'!M7)/E65)</f>
        <v/>
      </c>
      <c r="M65" s="5" t="inlineStr"/>
    </row>
    <row r="66">
      <c r="A66" s="5" t="n">
        <v>2</v>
      </c>
      <c r="B66" s="5" t="n">
        <v>0</v>
      </c>
      <c r="C66" s="5" t="n">
        <v>0</v>
      </c>
      <c r="D66" s="5" t="n">
        <v>2</v>
      </c>
      <c r="E66" s="5" t="n">
        <v>4</v>
      </c>
      <c r="F66" s="9" t="n">
        <v>14</v>
      </c>
      <c r="G66" s="6">
        <f>A66*'⑤ 成長試算'!D14+B66*'⑤ 成長試算'!D11+C66*'⑤ 成長試算'!D8+D66*'⑤ 成長試算'!D5</f>
        <v/>
      </c>
      <c r="H66" s="6">
        <f>A66*'⑤ 成長試算'!D15+B66*'⑤ 成長試算'!D12+C66*'⑤ 成長試算'!D9+D66*'⑤ 成長試算'!D6</f>
        <v/>
      </c>
      <c r="I66" s="6">
        <f>(A66*'⑤ 成長試算'!D16+B66*'⑤ 成長試算'!D13+C66*'⑤ 成長試算'!D10+D66*'⑤ 成長試算'!D7)/E66</f>
        <v/>
      </c>
      <c r="J66" s="6">
        <f>IF('⑤ 成長試算'!M14="—","—",A66*'⑤ 成長試算'!M14+B66*'⑤ 成長試算'!M11+C66*'⑤ 成長試算'!M8+D66*'⑤ 成長試算'!M5)</f>
        <v/>
      </c>
      <c r="K66" s="6">
        <f>IF('⑤ 成長試算'!M15="—","—",A66*'⑤ 成長試算'!M15+B66*'⑤ 成長試算'!M12+C66*'⑤ 成長試算'!M9+D66*'⑤ 成長試算'!M6)</f>
        <v/>
      </c>
      <c r="L66" s="6">
        <f>IF('⑤ 成長試算'!M16="—","—",(A66*'⑤ 成長試算'!M16+B66*'⑤ 成長試算'!M13+C66*'⑤ 成長試算'!M10+D66*'⑤ 成長試算'!M7)/E66)</f>
        <v/>
      </c>
      <c r="M66" s="5" t="inlineStr"/>
    </row>
    <row r="67">
      <c r="A67" s="5" t="n">
        <v>1</v>
      </c>
      <c r="B67" s="5" t="n">
        <v>1</v>
      </c>
      <c r="C67" s="5" t="n">
        <v>1</v>
      </c>
      <c r="D67" s="5" t="n">
        <v>1</v>
      </c>
      <c r="E67" s="5" t="n">
        <v>4</v>
      </c>
      <c r="F67" s="9" t="n">
        <v>14</v>
      </c>
      <c r="G67" s="6">
        <f>A67*'⑤ 成長試算'!D14+B67*'⑤ 成長試算'!D11+C67*'⑤ 成長試算'!D8+D67*'⑤ 成長試算'!D5</f>
        <v/>
      </c>
      <c r="H67" s="6">
        <f>A67*'⑤ 成長試算'!D15+B67*'⑤ 成長試算'!D12+C67*'⑤ 成長試算'!D9+D67*'⑤ 成長試算'!D6</f>
        <v/>
      </c>
      <c r="I67" s="6">
        <f>(A67*'⑤ 成長試算'!D16+B67*'⑤ 成長試算'!D13+C67*'⑤ 成長試算'!D10+D67*'⑤ 成長試算'!D7)/E67</f>
        <v/>
      </c>
      <c r="J67" s="6">
        <f>IF('⑤ 成長試算'!M14="—","—",A67*'⑤ 成長試算'!M14+B67*'⑤ 成長試算'!M11+C67*'⑤ 成長試算'!M8+D67*'⑤ 成長試算'!M5)</f>
        <v/>
      </c>
      <c r="K67" s="6">
        <f>IF('⑤ 成長試算'!M15="—","—",A67*'⑤ 成長試算'!M15+B67*'⑤ 成長試算'!M12+C67*'⑤ 成長試算'!M9+D67*'⑤ 成長試算'!M6)</f>
        <v/>
      </c>
      <c r="L67" s="6">
        <f>IF('⑤ 成長試算'!M16="—","—",(A67*'⑤ 成長試算'!M16+B67*'⑤ 成長試算'!M13+C67*'⑤ 成長試算'!M10+D67*'⑤ 成長試算'!M7)/E67)</f>
        <v/>
      </c>
      <c r="M67" s="5" t="inlineStr"/>
    </row>
    <row r="68">
      <c r="A68" s="5" t="n">
        <v>1</v>
      </c>
      <c r="B68" s="5" t="n">
        <v>0</v>
      </c>
      <c r="C68" s="5" t="n">
        <v>3</v>
      </c>
      <c r="D68" s="5" t="n">
        <v>0</v>
      </c>
      <c r="E68" s="5" t="n">
        <v>4</v>
      </c>
      <c r="F68" s="9" t="n">
        <v>14</v>
      </c>
      <c r="G68" s="6">
        <f>A68*'⑤ 成長試算'!D14+B68*'⑤ 成長試算'!D11+C68*'⑤ 成長試算'!D8+D68*'⑤ 成長試算'!D5</f>
        <v/>
      </c>
      <c r="H68" s="6">
        <f>A68*'⑤ 成長試算'!D15+B68*'⑤ 成長試算'!D12+C68*'⑤ 成長試算'!D9+D68*'⑤ 成長試算'!D6</f>
        <v/>
      </c>
      <c r="I68" s="6">
        <f>(A68*'⑤ 成長試算'!D16+B68*'⑤ 成長試算'!D13+C68*'⑤ 成長試算'!D10+D68*'⑤ 成長試算'!D7)/E68</f>
        <v/>
      </c>
      <c r="J68" s="6">
        <f>IF('⑤ 成長試算'!M14="—","—",A68*'⑤ 成長試算'!M14+B68*'⑤ 成長試算'!M11+C68*'⑤ 成長試算'!M8+D68*'⑤ 成長試算'!M5)</f>
        <v/>
      </c>
      <c r="K68" s="6">
        <f>IF('⑤ 成長試算'!M15="—","—",A68*'⑤ 成長試算'!M15+B68*'⑤ 成長試算'!M12+C68*'⑤ 成長試算'!M9+D68*'⑤ 成長試算'!M6)</f>
        <v/>
      </c>
      <c r="L68" s="6">
        <f>IF('⑤ 成長試算'!M16="—","—",(A68*'⑤ 成長試算'!M16+B68*'⑤ 成長試算'!M13+C68*'⑤ 成長試算'!M10+D68*'⑤ 成長試算'!M7)/E68)</f>
        <v/>
      </c>
      <c r="M68" s="5" t="inlineStr"/>
    </row>
    <row r="69">
      <c r="A69" s="5" t="n">
        <v>0</v>
      </c>
      <c r="B69" s="5" t="n">
        <v>3</v>
      </c>
      <c r="C69" s="5" t="n">
        <v>0</v>
      </c>
      <c r="D69" s="5" t="n">
        <v>1</v>
      </c>
      <c r="E69" s="5" t="n">
        <v>4</v>
      </c>
      <c r="F69" s="9" t="n">
        <v>14</v>
      </c>
      <c r="G69" s="6">
        <f>A69*'⑤ 成長試算'!D14+B69*'⑤ 成長試算'!D11+C69*'⑤ 成長試算'!D8+D69*'⑤ 成長試算'!D5</f>
        <v/>
      </c>
      <c r="H69" s="6">
        <f>A69*'⑤ 成長試算'!D15+B69*'⑤ 成長試算'!D12+C69*'⑤ 成長試算'!D9+D69*'⑤ 成長試算'!D6</f>
        <v/>
      </c>
      <c r="I69" s="6">
        <f>(A69*'⑤ 成長試算'!D16+B69*'⑤ 成長試算'!D13+C69*'⑤ 成長試算'!D10+D69*'⑤ 成長試算'!D7)/E69</f>
        <v/>
      </c>
      <c r="J69" s="6">
        <f>IF('⑤ 成長試算'!M14="—","—",A69*'⑤ 成長試算'!M14+B69*'⑤ 成長試算'!M11+C69*'⑤ 成長試算'!M8+D69*'⑤ 成長試算'!M5)</f>
        <v/>
      </c>
      <c r="K69" s="6">
        <f>IF('⑤ 成長試算'!M15="—","—",A69*'⑤ 成長試算'!M15+B69*'⑤ 成長試算'!M12+C69*'⑤ 成長試算'!M9+D69*'⑤ 成長試算'!M6)</f>
        <v/>
      </c>
      <c r="L69" s="6">
        <f>IF('⑤ 成長試算'!M16="—","—",(A69*'⑤ 成長試算'!M16+B69*'⑤ 成長試算'!M13+C69*'⑤ 成長試算'!M10+D69*'⑤ 成長試算'!M7)/E69)</f>
        <v/>
      </c>
      <c r="M69" s="5" t="inlineStr"/>
    </row>
    <row r="70">
      <c r="A70" s="5" t="n">
        <v>0</v>
      </c>
      <c r="B70" s="5" t="n">
        <v>2</v>
      </c>
      <c r="C70" s="5" t="n">
        <v>2</v>
      </c>
      <c r="D70" s="5" t="n">
        <v>0</v>
      </c>
      <c r="E70" s="5" t="n">
        <v>4</v>
      </c>
      <c r="F70" s="9" t="n">
        <v>14</v>
      </c>
      <c r="G70" s="6">
        <f>A70*'⑤ 成長試算'!D14+B70*'⑤ 成長試算'!D11+C70*'⑤ 成長試算'!D8+D70*'⑤ 成長試算'!D5</f>
        <v/>
      </c>
      <c r="H70" s="6">
        <f>A70*'⑤ 成長試算'!D15+B70*'⑤ 成長試算'!D12+C70*'⑤ 成長試算'!D9+D70*'⑤ 成長試算'!D6</f>
        <v/>
      </c>
      <c r="I70" s="6">
        <f>(A70*'⑤ 成長試算'!D16+B70*'⑤ 成長試算'!D13+C70*'⑤ 成長試算'!D10+D70*'⑤ 成長試算'!D7)/E70</f>
        <v/>
      </c>
      <c r="J70" s="6">
        <f>IF('⑤ 成長試算'!M14="—","—",A70*'⑤ 成長試算'!M14+B70*'⑤ 成長試算'!M11+C70*'⑤ 成長試算'!M8+D70*'⑤ 成長試算'!M5)</f>
        <v/>
      </c>
      <c r="K70" s="6">
        <f>IF('⑤ 成長試算'!M15="—","—",A70*'⑤ 成長試算'!M15+B70*'⑤ 成長試算'!M12+C70*'⑤ 成長試算'!M9+D70*'⑤ 成長試算'!M6)</f>
        <v/>
      </c>
      <c r="L70" s="6">
        <f>IF('⑤ 成長試算'!M16="—","—",(A70*'⑤ 成長試算'!M16+B70*'⑤ 成長試算'!M13+C70*'⑤ 成長試算'!M10+D70*'⑤ 成長試算'!M7)/E70)</f>
        <v/>
      </c>
      <c r="M70" s="5" t="inlineStr"/>
    </row>
    <row r="71">
      <c r="A71" s="5" t="n">
        <v>1</v>
      </c>
      <c r="B71" s="5" t="n">
        <v>1</v>
      </c>
      <c r="C71" s="5" t="n">
        <v>0</v>
      </c>
      <c r="D71" s="5" t="n">
        <v>2</v>
      </c>
      <c r="E71" s="5" t="n">
        <v>4</v>
      </c>
      <c r="F71" s="9" t="n">
        <v>13</v>
      </c>
      <c r="G71" s="6">
        <f>A71*'⑤ 成長試算'!D14+B71*'⑤ 成長試算'!D11+C71*'⑤ 成長試算'!D8+D71*'⑤ 成長試算'!D5</f>
        <v/>
      </c>
      <c r="H71" s="6">
        <f>A71*'⑤ 成長試算'!D15+B71*'⑤ 成長試算'!D12+C71*'⑤ 成長試算'!D9+D71*'⑤ 成長試算'!D6</f>
        <v/>
      </c>
      <c r="I71" s="6">
        <f>(A71*'⑤ 成長試算'!D16+B71*'⑤ 成長試算'!D13+C71*'⑤ 成長試算'!D10+D71*'⑤ 成長試算'!D7)/E71</f>
        <v/>
      </c>
      <c r="J71" s="6">
        <f>IF('⑤ 成長試算'!M14="—","—",A71*'⑤ 成長試算'!M14+B71*'⑤ 成長試算'!M11+C71*'⑤ 成長試算'!M8+D71*'⑤ 成長試算'!M5)</f>
        <v/>
      </c>
      <c r="K71" s="6">
        <f>IF('⑤ 成長試算'!M15="—","—",A71*'⑤ 成長試算'!M15+B71*'⑤ 成長試算'!M12+C71*'⑤ 成長試算'!M9+D71*'⑤ 成長試算'!M6)</f>
        <v/>
      </c>
      <c r="L71" s="6">
        <f>IF('⑤ 成長試算'!M16="—","—",(A71*'⑤ 成長試算'!M16+B71*'⑤ 成長試算'!M13+C71*'⑤ 成長試算'!M10+D71*'⑤ 成長試算'!M7)/E71)</f>
        <v/>
      </c>
      <c r="M71" s="5" t="inlineStr"/>
    </row>
    <row r="72">
      <c r="A72" s="5" t="n">
        <v>1</v>
      </c>
      <c r="B72" s="5" t="n">
        <v>0</v>
      </c>
      <c r="C72" s="5" t="n">
        <v>2</v>
      </c>
      <c r="D72" s="5" t="n">
        <v>1</v>
      </c>
      <c r="E72" s="5" t="n">
        <v>4</v>
      </c>
      <c r="F72" s="9" t="n">
        <v>13</v>
      </c>
      <c r="G72" s="6">
        <f>A72*'⑤ 成長試算'!D14+B72*'⑤ 成長試算'!D11+C72*'⑤ 成長試算'!D8+D72*'⑤ 成長試算'!D5</f>
        <v/>
      </c>
      <c r="H72" s="6">
        <f>A72*'⑤ 成長試算'!D15+B72*'⑤ 成長試算'!D12+C72*'⑤ 成長試算'!D9+D72*'⑤ 成長試算'!D6</f>
        <v/>
      </c>
      <c r="I72" s="6">
        <f>(A72*'⑤ 成長試算'!D16+B72*'⑤ 成長試算'!D13+C72*'⑤ 成長試算'!D10+D72*'⑤ 成長試算'!D7)/E72</f>
        <v/>
      </c>
      <c r="J72" s="6">
        <f>IF('⑤ 成長試算'!M14="—","—",A72*'⑤ 成長試算'!M14+B72*'⑤ 成長試算'!M11+C72*'⑤ 成長試算'!M8+D72*'⑤ 成長試算'!M5)</f>
        <v/>
      </c>
      <c r="K72" s="6">
        <f>IF('⑤ 成長試算'!M15="—","—",A72*'⑤ 成長試算'!M15+B72*'⑤ 成長試算'!M12+C72*'⑤ 成長試算'!M9+D72*'⑤ 成長試算'!M6)</f>
        <v/>
      </c>
      <c r="L72" s="6">
        <f>IF('⑤ 成長試算'!M16="—","—",(A72*'⑤ 成長試算'!M16+B72*'⑤ 成長試算'!M13+C72*'⑤ 成長試算'!M10+D72*'⑤ 成長試算'!M7)/E72)</f>
        <v/>
      </c>
      <c r="M72" s="5" t="inlineStr"/>
    </row>
    <row r="73">
      <c r="A73" s="5" t="n">
        <v>0</v>
      </c>
      <c r="B73" s="5" t="n">
        <v>2</v>
      </c>
      <c r="C73" s="5" t="n">
        <v>1</v>
      </c>
      <c r="D73" s="5" t="n">
        <v>1</v>
      </c>
      <c r="E73" s="5" t="n">
        <v>4</v>
      </c>
      <c r="F73" s="9" t="n">
        <v>13</v>
      </c>
      <c r="G73" s="6">
        <f>A73*'⑤ 成長試算'!D14+B73*'⑤ 成長試算'!D11+C73*'⑤ 成長試算'!D8+D73*'⑤ 成長試算'!D5</f>
        <v/>
      </c>
      <c r="H73" s="6">
        <f>A73*'⑤ 成長試算'!D15+B73*'⑤ 成長試算'!D12+C73*'⑤ 成長試算'!D9+D73*'⑤ 成長試算'!D6</f>
        <v/>
      </c>
      <c r="I73" s="6">
        <f>(A73*'⑤ 成長試算'!D16+B73*'⑤ 成長試算'!D13+C73*'⑤ 成長試算'!D10+D73*'⑤ 成長試算'!D7)/E73</f>
        <v/>
      </c>
      <c r="J73" s="6">
        <f>IF('⑤ 成長試算'!M14="—","—",A73*'⑤ 成長試算'!M14+B73*'⑤ 成長試算'!M11+C73*'⑤ 成長試算'!M8+D73*'⑤ 成長試算'!M5)</f>
        <v/>
      </c>
      <c r="K73" s="6">
        <f>IF('⑤ 成長試算'!M15="—","—",A73*'⑤ 成長試算'!M15+B73*'⑤ 成長試算'!M12+C73*'⑤ 成長試算'!M9+D73*'⑤ 成長試算'!M6)</f>
        <v/>
      </c>
      <c r="L73" s="6">
        <f>IF('⑤ 成長試算'!M16="—","—",(A73*'⑤ 成長試算'!M16+B73*'⑤ 成長試算'!M13+C73*'⑤ 成長試算'!M10+D73*'⑤ 成長試算'!M7)/E73)</f>
        <v/>
      </c>
      <c r="M73" s="5" t="inlineStr"/>
    </row>
    <row r="74">
      <c r="A74" s="5" t="n">
        <v>0</v>
      </c>
      <c r="B74" s="5" t="n">
        <v>1</v>
      </c>
      <c r="C74" s="5" t="n">
        <v>3</v>
      </c>
      <c r="D74" s="5" t="n">
        <v>0</v>
      </c>
      <c r="E74" s="5" t="n">
        <v>4</v>
      </c>
      <c r="F74" s="9" t="n">
        <v>13</v>
      </c>
      <c r="G74" s="6">
        <f>A74*'⑤ 成長試算'!D14+B74*'⑤ 成長試算'!D11+C74*'⑤ 成長試算'!D8+D74*'⑤ 成長試算'!D5</f>
        <v/>
      </c>
      <c r="H74" s="6">
        <f>A74*'⑤ 成長試算'!D15+B74*'⑤ 成長試算'!D12+C74*'⑤ 成長試算'!D9+D74*'⑤ 成長試算'!D6</f>
        <v/>
      </c>
      <c r="I74" s="6">
        <f>(A74*'⑤ 成長試算'!D16+B74*'⑤ 成長試算'!D13+C74*'⑤ 成長試算'!D10+D74*'⑤ 成長試算'!D7)/E74</f>
        <v/>
      </c>
      <c r="J74" s="6">
        <f>IF('⑤ 成長試算'!M14="—","—",A74*'⑤ 成長試算'!M14+B74*'⑤ 成長試算'!M11+C74*'⑤ 成長試算'!M8+D74*'⑤ 成長試算'!M5)</f>
        <v/>
      </c>
      <c r="K74" s="6">
        <f>IF('⑤ 成長試算'!M15="—","—",A74*'⑤ 成長試算'!M15+B74*'⑤ 成長試算'!M12+C74*'⑤ 成長試算'!M9+D74*'⑤ 成長試算'!M6)</f>
        <v/>
      </c>
      <c r="L74" s="6">
        <f>IF('⑤ 成長試算'!M16="—","—",(A74*'⑤ 成長試算'!M16+B74*'⑤ 成長試算'!M13+C74*'⑤ 成長試算'!M10+D74*'⑤ 成長試算'!M7)/E74)</f>
        <v/>
      </c>
      <c r="M74" s="5" t="inlineStr"/>
    </row>
    <row r="75">
      <c r="A75" s="5" t="n">
        <v>1</v>
      </c>
      <c r="B75" s="5" t="n">
        <v>0</v>
      </c>
      <c r="C75" s="5" t="n">
        <v>1</v>
      </c>
      <c r="D75" s="5" t="n">
        <v>2</v>
      </c>
      <c r="E75" s="5" t="n">
        <v>4</v>
      </c>
      <c r="F75" s="9" t="n">
        <v>12</v>
      </c>
      <c r="G75" s="6">
        <f>A75*'⑤ 成長試算'!D14+B75*'⑤ 成長試算'!D11+C75*'⑤ 成長試算'!D8+D75*'⑤ 成長試算'!D5</f>
        <v/>
      </c>
      <c r="H75" s="6">
        <f>A75*'⑤ 成長試算'!D15+B75*'⑤ 成長試算'!D12+C75*'⑤ 成長試算'!D9+D75*'⑤ 成長試算'!D6</f>
        <v/>
      </c>
      <c r="I75" s="6">
        <f>(A75*'⑤ 成長試算'!D16+B75*'⑤ 成長試算'!D13+C75*'⑤ 成長試算'!D10+D75*'⑤ 成長試算'!D7)/E75</f>
        <v/>
      </c>
      <c r="J75" s="6">
        <f>IF('⑤ 成長試算'!M14="—","—",A75*'⑤ 成長試算'!M14+B75*'⑤ 成長試算'!M11+C75*'⑤ 成長試算'!M8+D75*'⑤ 成長試算'!M5)</f>
        <v/>
      </c>
      <c r="K75" s="6">
        <f>IF('⑤ 成長試算'!M15="—","—",A75*'⑤ 成長試算'!M15+B75*'⑤ 成長試算'!M12+C75*'⑤ 成長試算'!M9+D75*'⑤ 成長試算'!M6)</f>
        <v/>
      </c>
      <c r="L75" s="6">
        <f>IF('⑤ 成長試算'!M16="—","—",(A75*'⑤ 成長試算'!M16+B75*'⑤ 成長試算'!M13+C75*'⑤ 成長試算'!M10+D75*'⑤ 成長試算'!M7)/E75)</f>
        <v/>
      </c>
      <c r="M75" s="5" t="inlineStr"/>
    </row>
    <row r="76">
      <c r="A76" s="5" t="n">
        <v>0</v>
      </c>
      <c r="B76" s="5" t="n">
        <v>2</v>
      </c>
      <c r="C76" s="5" t="n">
        <v>0</v>
      </c>
      <c r="D76" s="5" t="n">
        <v>2</v>
      </c>
      <c r="E76" s="5" t="n">
        <v>4</v>
      </c>
      <c r="F76" s="9" t="n">
        <v>12</v>
      </c>
      <c r="G76" s="6">
        <f>A76*'⑤ 成長試算'!D14+B76*'⑤ 成長試算'!D11+C76*'⑤ 成長試算'!D8+D76*'⑤ 成長試算'!D5</f>
        <v/>
      </c>
      <c r="H76" s="6">
        <f>A76*'⑤ 成長試算'!D15+B76*'⑤ 成長試算'!D12+C76*'⑤ 成長試算'!D9+D76*'⑤ 成長試算'!D6</f>
        <v/>
      </c>
      <c r="I76" s="6">
        <f>(A76*'⑤ 成長試算'!D16+B76*'⑤ 成長試算'!D13+C76*'⑤ 成長試算'!D10+D76*'⑤ 成長試算'!D7)/E76</f>
        <v/>
      </c>
      <c r="J76" s="6">
        <f>IF('⑤ 成長試算'!M14="—","—",A76*'⑤ 成長試算'!M14+B76*'⑤ 成長試算'!M11+C76*'⑤ 成長試算'!M8+D76*'⑤ 成長試算'!M5)</f>
        <v/>
      </c>
      <c r="K76" s="6">
        <f>IF('⑤ 成長試算'!M15="—","—",A76*'⑤ 成長試算'!M15+B76*'⑤ 成長試算'!M12+C76*'⑤ 成長試算'!M9+D76*'⑤ 成長試算'!M6)</f>
        <v/>
      </c>
      <c r="L76" s="6">
        <f>IF('⑤ 成長試算'!M16="—","—",(A76*'⑤ 成長試算'!M16+B76*'⑤ 成長試算'!M13+C76*'⑤ 成長試算'!M10+D76*'⑤ 成長試算'!M7)/E76)</f>
        <v/>
      </c>
      <c r="M76" s="5" t="inlineStr"/>
    </row>
    <row r="77">
      <c r="A77" s="5" t="n">
        <v>0</v>
      </c>
      <c r="B77" s="5" t="n">
        <v>1</v>
      </c>
      <c r="C77" s="5" t="n">
        <v>2</v>
      </c>
      <c r="D77" s="5" t="n">
        <v>1</v>
      </c>
      <c r="E77" s="5" t="n">
        <v>4</v>
      </c>
      <c r="F77" s="9" t="n">
        <v>12</v>
      </c>
      <c r="G77" s="6">
        <f>A77*'⑤ 成長試算'!D14+B77*'⑤ 成長試算'!D11+C77*'⑤ 成長試算'!D8+D77*'⑤ 成長試算'!D5</f>
        <v/>
      </c>
      <c r="H77" s="6">
        <f>A77*'⑤ 成長試算'!D15+B77*'⑤ 成長試算'!D12+C77*'⑤ 成長試算'!D9+D77*'⑤ 成長試算'!D6</f>
        <v/>
      </c>
      <c r="I77" s="6">
        <f>(A77*'⑤ 成長試算'!D16+B77*'⑤ 成長試算'!D13+C77*'⑤ 成長試算'!D10+D77*'⑤ 成長試算'!D7)/E77</f>
        <v/>
      </c>
      <c r="J77" s="6">
        <f>IF('⑤ 成長試算'!M14="—","—",A77*'⑤ 成長試算'!M14+B77*'⑤ 成長試算'!M11+C77*'⑤ 成長試算'!M8+D77*'⑤ 成長試算'!M5)</f>
        <v/>
      </c>
      <c r="K77" s="6">
        <f>IF('⑤ 成長試算'!M15="—","—",A77*'⑤ 成長試算'!M15+B77*'⑤ 成長試算'!M12+C77*'⑤ 成長試算'!M9+D77*'⑤ 成長試算'!M6)</f>
        <v/>
      </c>
      <c r="L77" s="6">
        <f>IF('⑤ 成長試算'!M16="—","—",(A77*'⑤ 成長試算'!M16+B77*'⑤ 成長試算'!M13+C77*'⑤ 成長試算'!M10+D77*'⑤ 成長試算'!M7)/E77)</f>
        <v/>
      </c>
      <c r="M77" s="5" t="inlineStr"/>
    </row>
    <row r="78">
      <c r="A78" s="5" t="n">
        <v>0</v>
      </c>
      <c r="B78" s="5" t="n">
        <v>0</v>
      </c>
      <c r="C78" s="5" t="n">
        <v>4</v>
      </c>
      <c r="D78" s="5" t="n">
        <v>0</v>
      </c>
      <c r="E78" s="5" t="n">
        <v>4</v>
      </c>
      <c r="F78" s="9" t="n">
        <v>12</v>
      </c>
      <c r="G78" s="6">
        <f>A78*'⑤ 成長試算'!D14+B78*'⑤ 成長試算'!D11+C78*'⑤ 成長試算'!D8+D78*'⑤ 成長試算'!D5</f>
        <v/>
      </c>
      <c r="H78" s="6">
        <f>A78*'⑤ 成長試算'!D15+B78*'⑤ 成長試算'!D12+C78*'⑤ 成長試算'!D9+D78*'⑤ 成長試算'!D6</f>
        <v/>
      </c>
      <c r="I78" s="6">
        <f>(A78*'⑤ 成長試算'!D16+B78*'⑤ 成長試算'!D13+C78*'⑤ 成長試算'!D10+D78*'⑤ 成長試算'!D7)/E78</f>
        <v/>
      </c>
      <c r="J78" s="6">
        <f>IF('⑤ 成長試算'!M14="—","—",A78*'⑤ 成長試算'!M14+B78*'⑤ 成長試算'!M11+C78*'⑤ 成長試算'!M8+D78*'⑤ 成長試算'!M5)</f>
        <v/>
      </c>
      <c r="K78" s="6">
        <f>IF('⑤ 成長試算'!M15="—","—",A78*'⑤ 成長試算'!M15+B78*'⑤ 成長試算'!M12+C78*'⑤ 成長試算'!M9+D78*'⑤ 成長試算'!M6)</f>
        <v/>
      </c>
      <c r="L78" s="6">
        <f>IF('⑤ 成長試算'!M16="—","—",(A78*'⑤ 成長試算'!M16+B78*'⑤ 成長試算'!M13+C78*'⑤ 成長試算'!M10+D78*'⑤ 成長試算'!M7)/E78)</f>
        <v/>
      </c>
      <c r="M78" s="5" t="inlineStr"/>
    </row>
    <row r="79">
      <c r="A79" s="5" t="n">
        <v>1</v>
      </c>
      <c r="B79" s="5" t="n">
        <v>0</v>
      </c>
      <c r="C79" s="5" t="n">
        <v>0</v>
      </c>
      <c r="D79" s="5" t="n">
        <v>3</v>
      </c>
      <c r="E79" s="5" t="n">
        <v>4</v>
      </c>
      <c r="F79" s="9" t="n">
        <v>11</v>
      </c>
      <c r="G79" s="6">
        <f>A79*'⑤ 成長試算'!D14+B79*'⑤ 成長試算'!D11+C79*'⑤ 成長試算'!D8+D79*'⑤ 成長試算'!D5</f>
        <v/>
      </c>
      <c r="H79" s="6">
        <f>A79*'⑤ 成長試算'!D15+B79*'⑤ 成長試算'!D12+C79*'⑤ 成長試算'!D9+D79*'⑤ 成長試算'!D6</f>
        <v/>
      </c>
      <c r="I79" s="6">
        <f>(A79*'⑤ 成長試算'!D16+B79*'⑤ 成長試算'!D13+C79*'⑤ 成長試算'!D10+D79*'⑤ 成長試算'!D7)/E79</f>
        <v/>
      </c>
      <c r="J79" s="6">
        <f>IF('⑤ 成長試算'!M14="—","—",A79*'⑤ 成長試算'!M14+B79*'⑤ 成長試算'!M11+C79*'⑤ 成長試算'!M8+D79*'⑤ 成長試算'!M5)</f>
        <v/>
      </c>
      <c r="K79" s="6">
        <f>IF('⑤ 成長試算'!M15="—","—",A79*'⑤ 成長試算'!M15+B79*'⑤ 成長試算'!M12+C79*'⑤ 成長試算'!M9+D79*'⑤ 成長試算'!M6)</f>
        <v/>
      </c>
      <c r="L79" s="6">
        <f>IF('⑤ 成長試算'!M16="—","—",(A79*'⑤ 成長試算'!M16+B79*'⑤ 成長試算'!M13+C79*'⑤ 成長試算'!M10+D79*'⑤ 成長試算'!M7)/E79)</f>
        <v/>
      </c>
      <c r="M79" s="5" t="inlineStr"/>
    </row>
    <row r="80">
      <c r="A80" s="5" t="n">
        <v>0</v>
      </c>
      <c r="B80" s="5" t="n">
        <v>1</v>
      </c>
      <c r="C80" s="5" t="n">
        <v>1</v>
      </c>
      <c r="D80" s="5" t="n">
        <v>2</v>
      </c>
      <c r="E80" s="5" t="n">
        <v>4</v>
      </c>
      <c r="F80" s="9" t="n">
        <v>11</v>
      </c>
      <c r="G80" s="6">
        <f>A80*'⑤ 成長試算'!D14+B80*'⑤ 成長試算'!D11+C80*'⑤ 成長試算'!D8+D80*'⑤ 成長試算'!D5</f>
        <v/>
      </c>
      <c r="H80" s="6">
        <f>A80*'⑤ 成長試算'!D15+B80*'⑤ 成長試算'!D12+C80*'⑤ 成長試算'!D9+D80*'⑤ 成長試算'!D6</f>
        <v/>
      </c>
      <c r="I80" s="6">
        <f>(A80*'⑤ 成長試算'!D16+B80*'⑤ 成長試算'!D13+C80*'⑤ 成長試算'!D10+D80*'⑤ 成長試算'!D7)/E80</f>
        <v/>
      </c>
      <c r="J80" s="6">
        <f>IF('⑤ 成長試算'!M14="—","—",A80*'⑤ 成長試算'!M14+B80*'⑤ 成長試算'!M11+C80*'⑤ 成長試算'!M8+D80*'⑤ 成長試算'!M5)</f>
        <v/>
      </c>
      <c r="K80" s="6">
        <f>IF('⑤ 成長試算'!M15="—","—",A80*'⑤ 成長試算'!M15+B80*'⑤ 成長試算'!M12+C80*'⑤ 成長試算'!M9+D80*'⑤ 成長試算'!M6)</f>
        <v/>
      </c>
      <c r="L80" s="6">
        <f>IF('⑤ 成長試算'!M16="—","—",(A80*'⑤ 成長試算'!M16+B80*'⑤ 成長試算'!M13+C80*'⑤ 成長試算'!M10+D80*'⑤ 成長試算'!M7)/E80)</f>
        <v/>
      </c>
      <c r="M80" s="5" t="inlineStr"/>
    </row>
    <row r="81">
      <c r="A81" s="5" t="n">
        <v>0</v>
      </c>
      <c r="B81" s="5" t="n">
        <v>0</v>
      </c>
      <c r="C81" s="5" t="n">
        <v>3</v>
      </c>
      <c r="D81" s="5" t="n">
        <v>1</v>
      </c>
      <c r="E81" s="5" t="n">
        <v>4</v>
      </c>
      <c r="F81" s="9" t="n">
        <v>11</v>
      </c>
      <c r="G81" s="6">
        <f>A81*'⑤ 成長試算'!D14+B81*'⑤ 成長試算'!D11+C81*'⑤ 成長試算'!D8+D81*'⑤ 成長試算'!D5</f>
        <v/>
      </c>
      <c r="H81" s="6">
        <f>A81*'⑤ 成長試算'!D15+B81*'⑤ 成長試算'!D12+C81*'⑤ 成長試算'!D9+D81*'⑤ 成長試算'!D6</f>
        <v/>
      </c>
      <c r="I81" s="6">
        <f>(A81*'⑤ 成長試算'!D16+B81*'⑤ 成長試算'!D13+C81*'⑤ 成長試算'!D10+D81*'⑤ 成長試算'!D7)/E81</f>
        <v/>
      </c>
      <c r="J81" s="6">
        <f>IF('⑤ 成長試算'!M14="—","—",A81*'⑤ 成長試算'!M14+B81*'⑤ 成長試算'!M11+C81*'⑤ 成長試算'!M8+D81*'⑤ 成長試算'!M5)</f>
        <v/>
      </c>
      <c r="K81" s="6">
        <f>IF('⑤ 成長試算'!M15="—","—",A81*'⑤ 成長試算'!M15+B81*'⑤ 成長試算'!M12+C81*'⑤ 成長試算'!M9+D81*'⑤ 成長試算'!M6)</f>
        <v/>
      </c>
      <c r="L81" s="6">
        <f>IF('⑤ 成長試算'!M16="—","—",(A81*'⑤ 成長試算'!M16+B81*'⑤ 成長試算'!M13+C81*'⑤ 成長試算'!M10+D81*'⑤ 成長試算'!M7)/E81)</f>
        <v/>
      </c>
      <c r="M81" s="5" t="inlineStr"/>
    </row>
    <row r="82">
      <c r="A82" s="5" t="n">
        <v>0</v>
      </c>
      <c r="B82" s="5" t="n">
        <v>1</v>
      </c>
      <c r="C82" s="5" t="n">
        <v>0</v>
      </c>
      <c r="D82" s="5" t="n">
        <v>3</v>
      </c>
      <c r="E82" s="5" t="n">
        <v>4</v>
      </c>
      <c r="F82" s="9" t="n">
        <v>10</v>
      </c>
      <c r="G82" s="6">
        <f>A82*'⑤ 成長試算'!D14+B82*'⑤ 成長試算'!D11+C82*'⑤ 成長試算'!D8+D82*'⑤ 成長試算'!D5</f>
        <v/>
      </c>
      <c r="H82" s="6">
        <f>A82*'⑤ 成長試算'!D15+B82*'⑤ 成長試算'!D12+C82*'⑤ 成長試算'!D9+D82*'⑤ 成長試算'!D6</f>
        <v/>
      </c>
      <c r="I82" s="6">
        <f>(A82*'⑤ 成長試算'!D16+B82*'⑤ 成長試算'!D13+C82*'⑤ 成長試算'!D10+D82*'⑤ 成長試算'!D7)/E82</f>
        <v/>
      </c>
      <c r="J82" s="6">
        <f>IF('⑤ 成長試算'!M14="—","—",A82*'⑤ 成長試算'!M14+B82*'⑤ 成長試算'!M11+C82*'⑤ 成長試算'!M8+D82*'⑤ 成長試算'!M5)</f>
        <v/>
      </c>
      <c r="K82" s="6">
        <f>IF('⑤ 成長試算'!M15="—","—",A82*'⑤ 成長試算'!M15+B82*'⑤ 成長試算'!M12+C82*'⑤ 成長試算'!M9+D82*'⑤ 成長試算'!M6)</f>
        <v/>
      </c>
      <c r="L82" s="6">
        <f>IF('⑤ 成長試算'!M16="—","—",(A82*'⑤ 成長試算'!M16+B82*'⑤ 成長試算'!M13+C82*'⑤ 成長試算'!M10+D82*'⑤ 成長試算'!M7)/E82)</f>
        <v/>
      </c>
      <c r="M82" s="5" t="inlineStr"/>
    </row>
    <row r="83">
      <c r="A83" s="5" t="n">
        <v>0</v>
      </c>
      <c r="B83" s="5" t="n">
        <v>0</v>
      </c>
      <c r="C83" s="5" t="n">
        <v>2</v>
      </c>
      <c r="D83" s="5" t="n">
        <v>2</v>
      </c>
      <c r="E83" s="5" t="n">
        <v>4</v>
      </c>
      <c r="F83" s="9" t="n">
        <v>10</v>
      </c>
      <c r="G83" s="6">
        <f>A83*'⑤ 成長試算'!D14+B83*'⑤ 成長試算'!D11+C83*'⑤ 成長試算'!D8+D83*'⑤ 成長試算'!D5</f>
        <v/>
      </c>
      <c r="H83" s="6">
        <f>A83*'⑤ 成長試算'!D15+B83*'⑤ 成長試算'!D12+C83*'⑤ 成長試算'!D9+D83*'⑤ 成長試算'!D6</f>
        <v/>
      </c>
      <c r="I83" s="6">
        <f>(A83*'⑤ 成長試算'!D16+B83*'⑤ 成長試算'!D13+C83*'⑤ 成長試算'!D10+D83*'⑤ 成長試算'!D7)/E83</f>
        <v/>
      </c>
      <c r="J83" s="6">
        <f>IF('⑤ 成長試算'!M14="—","—",A83*'⑤ 成長試算'!M14+B83*'⑤ 成長試算'!M11+C83*'⑤ 成長試算'!M8+D83*'⑤ 成長試算'!M5)</f>
        <v/>
      </c>
      <c r="K83" s="6">
        <f>IF('⑤ 成長試算'!M15="—","—",A83*'⑤ 成長試算'!M15+B83*'⑤ 成長試算'!M12+C83*'⑤ 成長試算'!M9+D83*'⑤ 成長試算'!M6)</f>
        <v/>
      </c>
      <c r="L83" s="6">
        <f>IF('⑤ 成長試算'!M16="—","—",(A83*'⑤ 成長試算'!M16+B83*'⑤ 成長試算'!M13+C83*'⑤ 成長試算'!M10+D83*'⑤ 成長試算'!M7)/E83)</f>
        <v/>
      </c>
      <c r="M83" s="5" t="inlineStr"/>
    </row>
    <row r="84">
      <c r="A84" s="5" t="n">
        <v>0</v>
      </c>
      <c r="B84" s="5" t="n">
        <v>0</v>
      </c>
      <c r="C84" s="5" t="n">
        <v>1</v>
      </c>
      <c r="D84" s="5" t="n">
        <v>3</v>
      </c>
      <c r="E84" s="5" t="n">
        <v>4</v>
      </c>
      <c r="F84" s="9" t="n">
        <v>9</v>
      </c>
      <c r="G84" s="6">
        <f>A84*'⑤ 成長試算'!D14+B84*'⑤ 成長試算'!D11+C84*'⑤ 成長試算'!D8+D84*'⑤ 成長試算'!D5</f>
        <v/>
      </c>
      <c r="H84" s="6">
        <f>A84*'⑤ 成長試算'!D15+B84*'⑤ 成長試算'!D12+C84*'⑤ 成長試算'!D9+D84*'⑤ 成長試算'!D6</f>
        <v/>
      </c>
      <c r="I84" s="6">
        <f>(A84*'⑤ 成長試算'!D16+B84*'⑤ 成長試算'!D13+C84*'⑤ 成長試算'!D10+D84*'⑤ 成長試算'!D7)/E84</f>
        <v/>
      </c>
      <c r="J84" s="6">
        <f>IF('⑤ 成長試算'!M14="—","—",A84*'⑤ 成長試算'!M14+B84*'⑤ 成長試算'!M11+C84*'⑤ 成長試算'!M8+D84*'⑤ 成長試算'!M5)</f>
        <v/>
      </c>
      <c r="K84" s="6">
        <f>IF('⑤ 成長試算'!M15="—","—",A84*'⑤ 成長試算'!M15+B84*'⑤ 成長試算'!M12+C84*'⑤ 成長試算'!M9+D84*'⑤ 成長試算'!M6)</f>
        <v/>
      </c>
      <c r="L84" s="6">
        <f>IF('⑤ 成長試算'!M16="—","—",(A84*'⑤ 成長試算'!M16+B84*'⑤ 成長試算'!M13+C84*'⑤ 成長試算'!M10+D84*'⑤ 成長試算'!M7)/E84)</f>
        <v/>
      </c>
      <c r="M84" s="5" t="inlineStr"/>
    </row>
    <row r="85">
      <c r="A85" s="5" t="n">
        <v>0</v>
      </c>
      <c r="B85" s="5" t="n">
        <v>0</v>
      </c>
      <c r="C85" s="5" t="n">
        <v>0</v>
      </c>
      <c r="D85" s="5" t="n">
        <v>4</v>
      </c>
      <c r="E85" s="5" t="n">
        <v>4</v>
      </c>
      <c r="F85" s="9" t="n">
        <v>8</v>
      </c>
      <c r="G85" s="6">
        <f>A85*'⑤ 成長試算'!D14+B85*'⑤ 成長試算'!D11+C85*'⑤ 成長試算'!D8+D85*'⑤ 成長試算'!D5</f>
        <v/>
      </c>
      <c r="H85" s="6">
        <f>A85*'⑤ 成長試算'!D15+B85*'⑤ 成長試算'!D12+C85*'⑤ 成長試算'!D9+D85*'⑤ 成長試算'!D6</f>
        <v/>
      </c>
      <c r="I85" s="6">
        <f>(A85*'⑤ 成長試算'!D16+B85*'⑤ 成長試算'!D13+C85*'⑤ 成長試算'!D10+D85*'⑤ 成長試算'!D7)/E85</f>
        <v/>
      </c>
      <c r="J85" s="6">
        <f>IF('⑤ 成長試算'!M14="—","—",A85*'⑤ 成長試算'!M14+B85*'⑤ 成長試算'!M11+C85*'⑤ 成長試算'!M8+D85*'⑤ 成長試算'!M5)</f>
        <v/>
      </c>
      <c r="K85" s="6">
        <f>IF('⑤ 成長試算'!M15="—","—",A85*'⑤ 成長試算'!M15+B85*'⑤ 成長試算'!M12+C85*'⑤ 成長試算'!M9+D85*'⑤ 成長試算'!M6)</f>
        <v/>
      </c>
      <c r="L85" s="6">
        <f>IF('⑤ 成長試算'!M16="—","—",(A85*'⑤ 成長試算'!M16+B85*'⑤ 成長試算'!M13+C85*'⑤ 成長試算'!M10+D85*'⑤ 成長試算'!M7)/E85)</f>
        <v/>
      </c>
      <c r="M85" s="5" t="inlineStr">
        <is>
          <t>C単一（最安）</t>
        </is>
      </c>
    </row>
    <row r="86">
      <c r="A86" s="5" t="n">
        <v>3</v>
      </c>
      <c r="B86" s="5" t="n">
        <v>0</v>
      </c>
      <c r="C86" s="5" t="n">
        <v>0</v>
      </c>
      <c r="D86" s="5" t="n">
        <v>0</v>
      </c>
      <c r="E86" s="5" t="n">
        <v>3</v>
      </c>
      <c r="F86" s="9" t="n">
        <v>15</v>
      </c>
      <c r="G86" s="6">
        <f>A86*'⑤ 成長試算'!D14+B86*'⑤ 成長試算'!D11+C86*'⑤ 成長試算'!D8+D86*'⑤ 成長試算'!D5</f>
        <v/>
      </c>
      <c r="H86" s="6">
        <f>A86*'⑤ 成長試算'!D15+B86*'⑤ 成長試算'!D12+C86*'⑤ 成長試算'!D9+D86*'⑤ 成長試算'!D6</f>
        <v/>
      </c>
      <c r="I86" s="6">
        <f>(A86*'⑤ 成長試算'!D16+B86*'⑤ 成長試算'!D13+C86*'⑤ 成長試算'!D10+D86*'⑤ 成長試算'!D7)/E86</f>
        <v/>
      </c>
      <c r="J86" s="6">
        <f>IF('⑤ 成長試算'!M14="—","—",A86*'⑤ 成長試算'!M14+B86*'⑤ 成長試算'!M11+C86*'⑤ 成長試算'!M8+D86*'⑤ 成長試算'!M5)</f>
        <v/>
      </c>
      <c r="K86" s="6">
        <f>IF('⑤ 成長試算'!M15="—","—",A86*'⑤ 成長試算'!M15+B86*'⑤ 成長試算'!M12+C86*'⑤ 成長試算'!M9+D86*'⑤ 成長試算'!M6)</f>
        <v/>
      </c>
      <c r="L86" s="6">
        <f>IF('⑤ 成長試算'!M16="—","—",(A86*'⑤ 成長試算'!M16+B86*'⑤ 成長試算'!M13+C86*'⑤ 成長試算'!M10+D86*'⑤ 成長試算'!M7)/E86)</f>
        <v/>
      </c>
      <c r="M86" s="5" t="inlineStr">
        <is>
          <t>S単一</t>
        </is>
      </c>
    </row>
    <row r="87">
      <c r="A87" s="5" t="n">
        <v>2</v>
      </c>
      <c r="B87" s="5" t="n">
        <v>1</v>
      </c>
      <c r="C87" s="5" t="n">
        <v>0</v>
      </c>
      <c r="D87" s="5" t="n">
        <v>0</v>
      </c>
      <c r="E87" s="5" t="n">
        <v>3</v>
      </c>
      <c r="F87" s="9" t="n">
        <v>14</v>
      </c>
      <c r="G87" s="6">
        <f>A87*'⑤ 成長試算'!D14+B87*'⑤ 成長試算'!D11+C87*'⑤ 成長試算'!D8+D87*'⑤ 成長試算'!D5</f>
        <v/>
      </c>
      <c r="H87" s="6">
        <f>A87*'⑤ 成長試算'!D15+B87*'⑤ 成長試算'!D12+C87*'⑤ 成長試算'!D9+D87*'⑤ 成長試算'!D6</f>
        <v/>
      </c>
      <c r="I87" s="6">
        <f>(A87*'⑤ 成長試算'!D16+B87*'⑤ 成長試算'!D13+C87*'⑤ 成長試算'!D10+D87*'⑤ 成長試算'!D7)/E87</f>
        <v/>
      </c>
      <c r="J87" s="6">
        <f>IF('⑤ 成長試算'!M14="—","—",A87*'⑤ 成長試算'!M14+B87*'⑤ 成長試算'!M11+C87*'⑤ 成長試算'!M8+D87*'⑤ 成長試算'!M5)</f>
        <v/>
      </c>
      <c r="K87" s="6">
        <f>IF('⑤ 成長試算'!M15="—","—",A87*'⑤ 成長試算'!M15+B87*'⑤ 成長試算'!M12+C87*'⑤ 成長試算'!M9+D87*'⑤ 成長試算'!M6)</f>
        <v/>
      </c>
      <c r="L87" s="6">
        <f>IF('⑤ 成長試算'!M16="—","—",(A87*'⑤ 成長試算'!M16+B87*'⑤ 成長試算'!M13+C87*'⑤ 成長試算'!M10+D87*'⑤ 成長試算'!M7)/E87)</f>
        <v/>
      </c>
      <c r="M87" s="5" t="inlineStr"/>
    </row>
    <row r="88">
      <c r="A88" s="5" t="n">
        <v>2</v>
      </c>
      <c r="B88" s="5" t="n">
        <v>0</v>
      </c>
      <c r="C88" s="5" t="n">
        <v>1</v>
      </c>
      <c r="D88" s="5" t="n">
        <v>0</v>
      </c>
      <c r="E88" s="5" t="n">
        <v>3</v>
      </c>
      <c r="F88" s="9" t="n">
        <v>13</v>
      </c>
      <c r="G88" s="6">
        <f>A88*'⑤ 成長試算'!D14+B88*'⑤ 成長試算'!D11+C88*'⑤ 成長試算'!D8+D88*'⑤ 成長試算'!D5</f>
        <v/>
      </c>
      <c r="H88" s="6">
        <f>A88*'⑤ 成長試算'!D15+B88*'⑤ 成長試算'!D12+C88*'⑤ 成長試算'!D9+D88*'⑤ 成長試算'!D6</f>
        <v/>
      </c>
      <c r="I88" s="6">
        <f>(A88*'⑤ 成長試算'!D16+B88*'⑤ 成長試算'!D13+C88*'⑤ 成長試算'!D10+D88*'⑤ 成長試算'!D7)/E88</f>
        <v/>
      </c>
      <c r="J88" s="6">
        <f>IF('⑤ 成長試算'!M14="—","—",A88*'⑤ 成長試算'!M14+B88*'⑤ 成長試算'!M11+C88*'⑤ 成長試算'!M8+D88*'⑤ 成長試算'!M5)</f>
        <v/>
      </c>
      <c r="K88" s="6">
        <f>IF('⑤ 成長試算'!M15="—","—",A88*'⑤ 成長試算'!M15+B88*'⑤ 成長試算'!M12+C88*'⑤ 成長試算'!M9+D88*'⑤ 成長試算'!M6)</f>
        <v/>
      </c>
      <c r="L88" s="6">
        <f>IF('⑤ 成長試算'!M16="—","—",(A88*'⑤ 成長試算'!M16+B88*'⑤ 成長試算'!M13+C88*'⑤ 成長試算'!M10+D88*'⑤ 成長試算'!M7)/E88)</f>
        <v/>
      </c>
      <c r="M88" s="5" t="inlineStr"/>
    </row>
    <row r="89">
      <c r="A89" s="5" t="n">
        <v>1</v>
      </c>
      <c r="B89" s="5" t="n">
        <v>2</v>
      </c>
      <c r="C89" s="5" t="n">
        <v>0</v>
      </c>
      <c r="D89" s="5" t="n">
        <v>0</v>
      </c>
      <c r="E89" s="5" t="n">
        <v>3</v>
      </c>
      <c r="F89" s="9" t="n">
        <v>13</v>
      </c>
      <c r="G89" s="6">
        <f>A89*'⑤ 成長試算'!D14+B89*'⑤ 成長試算'!D11+C89*'⑤ 成長試算'!D8+D89*'⑤ 成長試算'!D5</f>
        <v/>
      </c>
      <c r="H89" s="6">
        <f>A89*'⑤ 成長試算'!D15+B89*'⑤ 成長試算'!D12+C89*'⑤ 成長試算'!D9+D89*'⑤ 成長試算'!D6</f>
        <v/>
      </c>
      <c r="I89" s="6">
        <f>(A89*'⑤ 成長試算'!D16+B89*'⑤ 成長試算'!D13+C89*'⑤ 成長試算'!D10+D89*'⑤ 成長試算'!D7)/E89</f>
        <v/>
      </c>
      <c r="J89" s="6">
        <f>IF('⑤ 成長試算'!M14="—","—",A89*'⑤ 成長試算'!M14+B89*'⑤ 成長試算'!M11+C89*'⑤ 成長試算'!M8+D89*'⑤ 成長試算'!M5)</f>
        <v/>
      </c>
      <c r="K89" s="6">
        <f>IF('⑤ 成長試算'!M15="—","—",A89*'⑤ 成長試算'!M15+B89*'⑤ 成長試算'!M12+C89*'⑤ 成長試算'!M9+D89*'⑤ 成長試算'!M6)</f>
        <v/>
      </c>
      <c r="L89" s="6">
        <f>IF('⑤ 成長試算'!M16="—","—",(A89*'⑤ 成長試算'!M16+B89*'⑤ 成長試算'!M13+C89*'⑤ 成長試算'!M10+D89*'⑤ 成長試算'!M7)/E89)</f>
        <v/>
      </c>
      <c r="M89" s="5" t="inlineStr"/>
    </row>
    <row r="90">
      <c r="A90" s="5" t="n">
        <v>2</v>
      </c>
      <c r="B90" s="5" t="n">
        <v>0</v>
      </c>
      <c r="C90" s="5" t="n">
        <v>0</v>
      </c>
      <c r="D90" s="5" t="n">
        <v>1</v>
      </c>
      <c r="E90" s="5" t="n">
        <v>3</v>
      </c>
      <c r="F90" s="9" t="n">
        <v>12</v>
      </c>
      <c r="G90" s="6">
        <f>A90*'⑤ 成長試算'!D14+B90*'⑤ 成長試算'!D11+C90*'⑤ 成長試算'!D8+D90*'⑤ 成長試算'!D5</f>
        <v/>
      </c>
      <c r="H90" s="6">
        <f>A90*'⑤ 成長試算'!D15+B90*'⑤ 成長試算'!D12+C90*'⑤ 成長試算'!D9+D90*'⑤ 成長試算'!D6</f>
        <v/>
      </c>
      <c r="I90" s="6">
        <f>(A90*'⑤ 成長試算'!D16+B90*'⑤ 成長試算'!D13+C90*'⑤ 成長試算'!D10+D90*'⑤ 成長試算'!D7)/E90</f>
        <v/>
      </c>
      <c r="J90" s="6">
        <f>IF('⑤ 成長試算'!M14="—","—",A90*'⑤ 成長試算'!M14+B90*'⑤ 成長試算'!M11+C90*'⑤ 成長試算'!M8+D90*'⑤ 成長試算'!M5)</f>
        <v/>
      </c>
      <c r="K90" s="6">
        <f>IF('⑤ 成長試算'!M15="—","—",A90*'⑤ 成長試算'!M15+B90*'⑤ 成長試算'!M12+C90*'⑤ 成長試算'!M9+D90*'⑤ 成長試算'!M6)</f>
        <v/>
      </c>
      <c r="L90" s="6">
        <f>IF('⑤ 成長試算'!M16="—","—",(A90*'⑤ 成長試算'!M16+B90*'⑤ 成長試算'!M13+C90*'⑤ 成長試算'!M10+D90*'⑤ 成長試算'!M7)/E90)</f>
        <v/>
      </c>
      <c r="M90" s="5" t="inlineStr"/>
    </row>
    <row r="91">
      <c r="A91" s="5" t="n">
        <v>1</v>
      </c>
      <c r="B91" s="5" t="n">
        <v>1</v>
      </c>
      <c r="C91" s="5" t="n">
        <v>1</v>
      </c>
      <c r="D91" s="5" t="n">
        <v>0</v>
      </c>
      <c r="E91" s="5" t="n">
        <v>3</v>
      </c>
      <c r="F91" s="9" t="n">
        <v>12</v>
      </c>
      <c r="G91" s="6">
        <f>A91*'⑤ 成長試算'!D14+B91*'⑤ 成長試算'!D11+C91*'⑤ 成長試算'!D8+D91*'⑤ 成長試算'!D5</f>
        <v/>
      </c>
      <c r="H91" s="6">
        <f>A91*'⑤ 成長試算'!D15+B91*'⑤ 成長試算'!D12+C91*'⑤ 成長試算'!D9+D91*'⑤ 成長試算'!D6</f>
        <v/>
      </c>
      <c r="I91" s="6">
        <f>(A91*'⑤ 成長試算'!D16+B91*'⑤ 成長試算'!D13+C91*'⑤ 成長試算'!D10+D91*'⑤ 成長試算'!D7)/E91</f>
        <v/>
      </c>
      <c r="J91" s="6">
        <f>IF('⑤ 成長試算'!M14="—","—",A91*'⑤ 成長試算'!M14+B91*'⑤ 成長試算'!M11+C91*'⑤ 成長試算'!M8+D91*'⑤ 成長試算'!M5)</f>
        <v/>
      </c>
      <c r="K91" s="6">
        <f>IF('⑤ 成長試算'!M15="—","—",A91*'⑤ 成長試算'!M15+B91*'⑤ 成長試算'!M12+C91*'⑤ 成長試算'!M9+D91*'⑤ 成長試算'!M6)</f>
        <v/>
      </c>
      <c r="L91" s="6">
        <f>IF('⑤ 成長試算'!M16="—","—",(A91*'⑤ 成長試算'!M16+B91*'⑤ 成長試算'!M13+C91*'⑤ 成長試算'!M10+D91*'⑤ 成長試算'!M7)/E91)</f>
        <v/>
      </c>
      <c r="M91" s="5" t="inlineStr"/>
    </row>
    <row r="92">
      <c r="A92" s="5" t="n">
        <v>0</v>
      </c>
      <c r="B92" s="5" t="n">
        <v>3</v>
      </c>
      <c r="C92" s="5" t="n">
        <v>0</v>
      </c>
      <c r="D92" s="5" t="n">
        <v>0</v>
      </c>
      <c r="E92" s="5" t="n">
        <v>3</v>
      </c>
      <c r="F92" s="9" t="n">
        <v>12</v>
      </c>
      <c r="G92" s="6">
        <f>A92*'⑤ 成長試算'!D14+B92*'⑤ 成長試算'!D11+C92*'⑤ 成長試算'!D8+D92*'⑤ 成長試算'!D5</f>
        <v/>
      </c>
      <c r="H92" s="6">
        <f>A92*'⑤ 成長試算'!D15+B92*'⑤ 成長試算'!D12+C92*'⑤ 成長試算'!D9+D92*'⑤ 成長試算'!D6</f>
        <v/>
      </c>
      <c r="I92" s="6">
        <f>(A92*'⑤ 成長試算'!D16+B92*'⑤ 成長試算'!D13+C92*'⑤ 成長試算'!D10+D92*'⑤ 成長試算'!D7)/E92</f>
        <v/>
      </c>
      <c r="J92" s="6">
        <f>IF('⑤ 成長試算'!M14="—","—",A92*'⑤ 成長試算'!M14+B92*'⑤ 成長試算'!M11+C92*'⑤ 成長試算'!M8+D92*'⑤ 成長試算'!M5)</f>
        <v/>
      </c>
      <c r="K92" s="6">
        <f>IF('⑤ 成長試算'!M15="—","—",A92*'⑤ 成長試算'!M15+B92*'⑤ 成長試算'!M12+C92*'⑤ 成長試算'!M9+D92*'⑤ 成長試算'!M6)</f>
        <v/>
      </c>
      <c r="L92" s="6">
        <f>IF('⑤ 成長試算'!M16="—","—",(A92*'⑤ 成長試算'!M16+B92*'⑤ 成長試算'!M13+C92*'⑤ 成長試算'!M10+D92*'⑤ 成長試算'!M7)/E92)</f>
        <v/>
      </c>
      <c r="M92" s="5" t="inlineStr"/>
    </row>
    <row r="93">
      <c r="A93" s="5" t="n">
        <v>1</v>
      </c>
      <c r="B93" s="5" t="n">
        <v>1</v>
      </c>
      <c r="C93" s="5" t="n">
        <v>0</v>
      </c>
      <c r="D93" s="5" t="n">
        <v>1</v>
      </c>
      <c r="E93" s="5" t="n">
        <v>3</v>
      </c>
      <c r="F93" s="9" t="n">
        <v>11</v>
      </c>
      <c r="G93" s="6">
        <f>A93*'⑤ 成長試算'!D14+B93*'⑤ 成長試算'!D11+C93*'⑤ 成長試算'!D8+D93*'⑤ 成長試算'!D5</f>
        <v/>
      </c>
      <c r="H93" s="6">
        <f>A93*'⑤ 成長試算'!D15+B93*'⑤ 成長試算'!D12+C93*'⑤ 成長試算'!D9+D93*'⑤ 成長試算'!D6</f>
        <v/>
      </c>
      <c r="I93" s="6">
        <f>(A93*'⑤ 成長試算'!D16+B93*'⑤ 成長試算'!D13+C93*'⑤ 成長試算'!D10+D93*'⑤ 成長試算'!D7)/E93</f>
        <v/>
      </c>
      <c r="J93" s="6">
        <f>IF('⑤ 成長試算'!M14="—","—",A93*'⑤ 成長試算'!M14+B93*'⑤ 成長試算'!M11+C93*'⑤ 成長試算'!M8+D93*'⑤ 成長試算'!M5)</f>
        <v/>
      </c>
      <c r="K93" s="6">
        <f>IF('⑤ 成長試算'!M15="—","—",A93*'⑤ 成長試算'!M15+B93*'⑤ 成長試算'!M12+C93*'⑤ 成長試算'!M9+D93*'⑤ 成長試算'!M6)</f>
        <v/>
      </c>
      <c r="L93" s="6">
        <f>IF('⑤ 成長試算'!M16="—","—",(A93*'⑤ 成長試算'!M16+B93*'⑤ 成長試算'!M13+C93*'⑤ 成長試算'!M10+D93*'⑤ 成長試算'!M7)/E93)</f>
        <v/>
      </c>
      <c r="M93" s="5" t="inlineStr"/>
    </row>
    <row r="94">
      <c r="A94" s="5" t="n">
        <v>1</v>
      </c>
      <c r="B94" s="5" t="n">
        <v>0</v>
      </c>
      <c r="C94" s="5" t="n">
        <v>2</v>
      </c>
      <c r="D94" s="5" t="n">
        <v>0</v>
      </c>
      <c r="E94" s="5" t="n">
        <v>3</v>
      </c>
      <c r="F94" s="9" t="n">
        <v>11</v>
      </c>
      <c r="G94" s="6">
        <f>A94*'⑤ 成長試算'!D14+B94*'⑤ 成長試算'!D11+C94*'⑤ 成長試算'!D8+D94*'⑤ 成長試算'!D5</f>
        <v/>
      </c>
      <c r="H94" s="6">
        <f>A94*'⑤ 成長試算'!D15+B94*'⑤ 成長試算'!D12+C94*'⑤ 成長試算'!D9+D94*'⑤ 成長試算'!D6</f>
        <v/>
      </c>
      <c r="I94" s="6">
        <f>(A94*'⑤ 成長試算'!D16+B94*'⑤ 成長試算'!D13+C94*'⑤ 成長試算'!D10+D94*'⑤ 成長試算'!D7)/E94</f>
        <v/>
      </c>
      <c r="J94" s="6">
        <f>IF('⑤ 成長試算'!M14="—","—",A94*'⑤ 成長試算'!M14+B94*'⑤ 成長試算'!M11+C94*'⑤ 成長試算'!M8+D94*'⑤ 成長試算'!M5)</f>
        <v/>
      </c>
      <c r="K94" s="6">
        <f>IF('⑤ 成長試算'!M15="—","—",A94*'⑤ 成長試算'!M15+B94*'⑤ 成長試算'!M12+C94*'⑤ 成長試算'!M9+D94*'⑤ 成長試算'!M6)</f>
        <v/>
      </c>
      <c r="L94" s="6">
        <f>IF('⑤ 成長試算'!M16="—","—",(A94*'⑤ 成長試算'!M16+B94*'⑤ 成長試算'!M13+C94*'⑤ 成長試算'!M10+D94*'⑤ 成長試算'!M7)/E94)</f>
        <v/>
      </c>
      <c r="M94" s="5" t="inlineStr"/>
    </row>
    <row r="95">
      <c r="A95" s="5" t="n">
        <v>0</v>
      </c>
      <c r="B95" s="5" t="n">
        <v>2</v>
      </c>
      <c r="C95" s="5" t="n">
        <v>1</v>
      </c>
      <c r="D95" s="5" t="n">
        <v>0</v>
      </c>
      <c r="E95" s="5" t="n">
        <v>3</v>
      </c>
      <c r="F95" s="9" t="n">
        <v>11</v>
      </c>
      <c r="G95" s="6">
        <f>A95*'⑤ 成長試算'!D14+B95*'⑤ 成長試算'!D11+C95*'⑤ 成長試算'!D8+D95*'⑤ 成長試算'!D5</f>
        <v/>
      </c>
      <c r="H95" s="6">
        <f>A95*'⑤ 成長試算'!D15+B95*'⑤ 成長試算'!D12+C95*'⑤ 成長試算'!D9+D95*'⑤ 成長試算'!D6</f>
        <v/>
      </c>
      <c r="I95" s="6">
        <f>(A95*'⑤ 成長試算'!D16+B95*'⑤ 成長試算'!D13+C95*'⑤ 成長試算'!D10+D95*'⑤ 成長試算'!D7)/E95</f>
        <v/>
      </c>
      <c r="J95" s="6">
        <f>IF('⑤ 成長試算'!M14="—","—",A95*'⑤ 成長試算'!M14+B95*'⑤ 成長試算'!M11+C95*'⑤ 成長試算'!M8+D95*'⑤ 成長試算'!M5)</f>
        <v/>
      </c>
      <c r="K95" s="6">
        <f>IF('⑤ 成長試算'!M15="—","—",A95*'⑤ 成長試算'!M15+B95*'⑤ 成長試算'!M12+C95*'⑤ 成長試算'!M9+D95*'⑤ 成長試算'!M6)</f>
        <v/>
      </c>
      <c r="L95" s="6">
        <f>IF('⑤ 成長試算'!M16="—","—",(A95*'⑤ 成長試算'!M16+B95*'⑤ 成長試算'!M13+C95*'⑤ 成長試算'!M10+D95*'⑤ 成長試算'!M7)/E95)</f>
        <v/>
      </c>
      <c r="M95" s="5" t="inlineStr"/>
    </row>
    <row r="96">
      <c r="A96" s="5" t="n">
        <v>1</v>
      </c>
      <c r="B96" s="5" t="n">
        <v>0</v>
      </c>
      <c r="C96" s="5" t="n">
        <v>1</v>
      </c>
      <c r="D96" s="5" t="n">
        <v>1</v>
      </c>
      <c r="E96" s="5" t="n">
        <v>3</v>
      </c>
      <c r="F96" s="9" t="n">
        <v>10</v>
      </c>
      <c r="G96" s="6">
        <f>A96*'⑤ 成長試算'!D14+B96*'⑤ 成長試算'!D11+C96*'⑤ 成長試算'!D8+D96*'⑤ 成長試算'!D5</f>
        <v/>
      </c>
      <c r="H96" s="6">
        <f>A96*'⑤ 成長試算'!D15+B96*'⑤ 成長試算'!D12+C96*'⑤ 成長試算'!D9+D96*'⑤ 成長試算'!D6</f>
        <v/>
      </c>
      <c r="I96" s="6">
        <f>(A96*'⑤ 成長試算'!D16+B96*'⑤ 成長試算'!D13+C96*'⑤ 成長試算'!D10+D96*'⑤ 成長試算'!D7)/E96</f>
        <v/>
      </c>
      <c r="J96" s="6">
        <f>IF('⑤ 成長試算'!M14="—","—",A96*'⑤ 成長試算'!M14+B96*'⑤ 成長試算'!M11+C96*'⑤ 成長試算'!M8+D96*'⑤ 成長試算'!M5)</f>
        <v/>
      </c>
      <c r="K96" s="6">
        <f>IF('⑤ 成長試算'!M15="—","—",A96*'⑤ 成長試算'!M15+B96*'⑤ 成長試算'!M12+C96*'⑤ 成長試算'!M9+D96*'⑤ 成長試算'!M6)</f>
        <v/>
      </c>
      <c r="L96" s="6">
        <f>IF('⑤ 成長試算'!M16="—","—",(A96*'⑤ 成長試算'!M16+B96*'⑤ 成長試算'!M13+C96*'⑤ 成長試算'!M10+D96*'⑤ 成長試算'!M7)/E96)</f>
        <v/>
      </c>
      <c r="M96" s="5" t="inlineStr"/>
    </row>
    <row r="97">
      <c r="A97" s="5" t="n">
        <v>0</v>
      </c>
      <c r="B97" s="5" t="n">
        <v>2</v>
      </c>
      <c r="C97" s="5" t="n">
        <v>0</v>
      </c>
      <c r="D97" s="5" t="n">
        <v>1</v>
      </c>
      <c r="E97" s="5" t="n">
        <v>3</v>
      </c>
      <c r="F97" s="9" t="n">
        <v>10</v>
      </c>
      <c r="G97" s="6">
        <f>A97*'⑤ 成長試算'!D14+B97*'⑤ 成長試算'!D11+C97*'⑤ 成長試算'!D8+D97*'⑤ 成長試算'!D5</f>
        <v/>
      </c>
      <c r="H97" s="6">
        <f>A97*'⑤ 成長試算'!D15+B97*'⑤ 成長試算'!D12+C97*'⑤ 成長試算'!D9+D97*'⑤ 成長試算'!D6</f>
        <v/>
      </c>
      <c r="I97" s="6">
        <f>(A97*'⑤ 成長試算'!D16+B97*'⑤ 成長試算'!D13+C97*'⑤ 成長試算'!D10+D97*'⑤ 成長試算'!D7)/E97</f>
        <v/>
      </c>
      <c r="J97" s="6">
        <f>IF('⑤ 成長試算'!M14="—","—",A97*'⑤ 成長試算'!M14+B97*'⑤ 成長試算'!M11+C97*'⑤ 成長試算'!M8+D97*'⑤ 成長試算'!M5)</f>
        <v/>
      </c>
      <c r="K97" s="6">
        <f>IF('⑤ 成長試算'!M15="—","—",A97*'⑤ 成長試算'!M15+B97*'⑤ 成長試算'!M12+C97*'⑤ 成長試算'!M9+D97*'⑤ 成長試算'!M6)</f>
        <v/>
      </c>
      <c r="L97" s="6">
        <f>IF('⑤ 成長試算'!M16="—","—",(A97*'⑤ 成長試算'!M16+B97*'⑤ 成長試算'!M13+C97*'⑤ 成長試算'!M10+D97*'⑤ 成長試算'!M7)/E97)</f>
        <v/>
      </c>
      <c r="M97" s="5" t="inlineStr"/>
    </row>
    <row r="98">
      <c r="A98" s="5" t="n">
        <v>0</v>
      </c>
      <c r="B98" s="5" t="n">
        <v>1</v>
      </c>
      <c r="C98" s="5" t="n">
        <v>2</v>
      </c>
      <c r="D98" s="5" t="n">
        <v>0</v>
      </c>
      <c r="E98" s="5" t="n">
        <v>3</v>
      </c>
      <c r="F98" s="9" t="n">
        <v>10</v>
      </c>
      <c r="G98" s="6">
        <f>A98*'⑤ 成長試算'!D14+B98*'⑤ 成長試算'!D11+C98*'⑤ 成長試算'!D8+D98*'⑤ 成長試算'!D5</f>
        <v/>
      </c>
      <c r="H98" s="6">
        <f>A98*'⑤ 成長試算'!D15+B98*'⑤ 成長試算'!D12+C98*'⑤ 成長試算'!D9+D98*'⑤ 成長試算'!D6</f>
        <v/>
      </c>
      <c r="I98" s="6">
        <f>(A98*'⑤ 成長試算'!D16+B98*'⑤ 成長試算'!D13+C98*'⑤ 成長試算'!D10+D98*'⑤ 成長試算'!D7)/E98</f>
        <v/>
      </c>
      <c r="J98" s="6">
        <f>IF('⑤ 成長試算'!M14="—","—",A98*'⑤ 成長試算'!M14+B98*'⑤ 成長試算'!M11+C98*'⑤ 成長試算'!M8+D98*'⑤ 成長試算'!M5)</f>
        <v/>
      </c>
      <c r="K98" s="6">
        <f>IF('⑤ 成長試算'!M15="—","—",A98*'⑤ 成長試算'!M15+B98*'⑤ 成長試算'!M12+C98*'⑤ 成長試算'!M9+D98*'⑤ 成長試算'!M6)</f>
        <v/>
      </c>
      <c r="L98" s="6">
        <f>IF('⑤ 成長試算'!M16="—","—",(A98*'⑤ 成長試算'!M16+B98*'⑤ 成長試算'!M13+C98*'⑤ 成長試算'!M10+D98*'⑤ 成長試算'!M7)/E98)</f>
        <v/>
      </c>
      <c r="M98" s="5" t="inlineStr"/>
    </row>
    <row r="99">
      <c r="A99" s="5" t="n">
        <v>1</v>
      </c>
      <c r="B99" s="5" t="n">
        <v>0</v>
      </c>
      <c r="C99" s="5" t="n">
        <v>0</v>
      </c>
      <c r="D99" s="5" t="n">
        <v>2</v>
      </c>
      <c r="E99" s="5" t="n">
        <v>3</v>
      </c>
      <c r="F99" s="9" t="n">
        <v>9</v>
      </c>
      <c r="G99" s="6">
        <f>A99*'⑤ 成長試算'!D14+B99*'⑤ 成長試算'!D11+C99*'⑤ 成長試算'!D8+D99*'⑤ 成長試算'!D5</f>
        <v/>
      </c>
      <c r="H99" s="6">
        <f>A99*'⑤ 成長試算'!D15+B99*'⑤ 成長試算'!D12+C99*'⑤ 成長試算'!D9+D99*'⑤ 成長試算'!D6</f>
        <v/>
      </c>
      <c r="I99" s="6">
        <f>(A99*'⑤ 成長試算'!D16+B99*'⑤ 成長試算'!D13+C99*'⑤ 成長試算'!D10+D99*'⑤ 成長試算'!D7)/E99</f>
        <v/>
      </c>
      <c r="J99" s="6">
        <f>IF('⑤ 成長試算'!M14="—","—",A99*'⑤ 成長試算'!M14+B99*'⑤ 成長試算'!M11+C99*'⑤ 成長試算'!M8+D99*'⑤ 成長試算'!M5)</f>
        <v/>
      </c>
      <c r="K99" s="6">
        <f>IF('⑤ 成長試算'!M15="—","—",A99*'⑤ 成長試算'!M15+B99*'⑤ 成長試算'!M12+C99*'⑤ 成長試算'!M9+D99*'⑤ 成長試算'!M6)</f>
        <v/>
      </c>
      <c r="L99" s="6">
        <f>IF('⑤ 成長試算'!M16="—","—",(A99*'⑤ 成長試算'!M16+B99*'⑤ 成長試算'!M13+C99*'⑤ 成長試算'!M10+D99*'⑤ 成長試算'!M7)/E99)</f>
        <v/>
      </c>
      <c r="M99" s="5" t="inlineStr"/>
    </row>
    <row r="100">
      <c r="A100" s="5" t="n">
        <v>0</v>
      </c>
      <c r="B100" s="5" t="n">
        <v>1</v>
      </c>
      <c r="C100" s="5" t="n">
        <v>1</v>
      </c>
      <c r="D100" s="5" t="n">
        <v>1</v>
      </c>
      <c r="E100" s="5" t="n">
        <v>3</v>
      </c>
      <c r="F100" s="9" t="n">
        <v>9</v>
      </c>
      <c r="G100" s="6">
        <f>A100*'⑤ 成長試算'!D14+B100*'⑤ 成長試算'!D11+C100*'⑤ 成長試算'!D8+D100*'⑤ 成長試算'!D5</f>
        <v/>
      </c>
      <c r="H100" s="6">
        <f>A100*'⑤ 成長試算'!D15+B100*'⑤ 成長試算'!D12+C100*'⑤ 成長試算'!D9+D100*'⑤ 成長試算'!D6</f>
        <v/>
      </c>
      <c r="I100" s="6">
        <f>(A100*'⑤ 成長試算'!D16+B100*'⑤ 成長試算'!D13+C100*'⑤ 成長試算'!D10+D100*'⑤ 成長試算'!D7)/E100</f>
        <v/>
      </c>
      <c r="J100" s="6">
        <f>IF('⑤ 成長試算'!M14="—","—",A100*'⑤ 成長試算'!M14+B100*'⑤ 成長試算'!M11+C100*'⑤ 成長試算'!M8+D100*'⑤ 成長試算'!M5)</f>
        <v/>
      </c>
      <c r="K100" s="6">
        <f>IF('⑤ 成長試算'!M15="—","—",A100*'⑤ 成長試算'!M15+B100*'⑤ 成長試算'!M12+C100*'⑤ 成長試算'!M9+D100*'⑤ 成長試算'!M6)</f>
        <v/>
      </c>
      <c r="L100" s="6">
        <f>IF('⑤ 成長試算'!M16="—","—",(A100*'⑤ 成長試算'!M16+B100*'⑤ 成長試算'!M13+C100*'⑤ 成長試算'!M10+D100*'⑤ 成長試算'!M7)/E100)</f>
        <v/>
      </c>
      <c r="M100" s="5" t="inlineStr"/>
    </row>
    <row r="101">
      <c r="A101" s="5" t="n">
        <v>0</v>
      </c>
      <c r="B101" s="5" t="n">
        <v>0</v>
      </c>
      <c r="C101" s="5" t="n">
        <v>3</v>
      </c>
      <c r="D101" s="5" t="n">
        <v>0</v>
      </c>
      <c r="E101" s="5" t="n">
        <v>3</v>
      </c>
      <c r="F101" s="9" t="n">
        <v>9</v>
      </c>
      <c r="G101" s="6">
        <f>A101*'⑤ 成長試算'!D14+B101*'⑤ 成長試算'!D11+C101*'⑤ 成長試算'!D8+D101*'⑤ 成長試算'!D5</f>
        <v/>
      </c>
      <c r="H101" s="6">
        <f>A101*'⑤ 成長試算'!D15+B101*'⑤ 成長試算'!D12+C101*'⑤ 成長試算'!D9+D101*'⑤ 成長試算'!D6</f>
        <v/>
      </c>
      <c r="I101" s="6">
        <f>(A101*'⑤ 成長試算'!D16+B101*'⑤ 成長試算'!D13+C101*'⑤ 成長試算'!D10+D101*'⑤ 成長試算'!D7)/E101</f>
        <v/>
      </c>
      <c r="J101" s="6">
        <f>IF('⑤ 成長試算'!M14="—","—",A101*'⑤ 成長試算'!M14+B101*'⑤ 成長試算'!M11+C101*'⑤ 成長試算'!M8+D101*'⑤ 成長試算'!M5)</f>
        <v/>
      </c>
      <c r="K101" s="6">
        <f>IF('⑤ 成長試算'!M15="—","—",A101*'⑤ 成長試算'!M15+B101*'⑤ 成長試算'!M12+C101*'⑤ 成長試算'!M9+D101*'⑤ 成長試算'!M6)</f>
        <v/>
      </c>
      <c r="L101" s="6">
        <f>IF('⑤ 成長試算'!M16="—","—",(A101*'⑤ 成長試算'!M16+B101*'⑤ 成長試算'!M13+C101*'⑤ 成長試算'!M10+D101*'⑤ 成長試算'!M7)/E101)</f>
        <v/>
      </c>
      <c r="M101" s="5" t="inlineStr"/>
    </row>
    <row r="102">
      <c r="A102" s="5" t="n">
        <v>0</v>
      </c>
      <c r="B102" s="5" t="n">
        <v>1</v>
      </c>
      <c r="C102" s="5" t="n">
        <v>0</v>
      </c>
      <c r="D102" s="5" t="n">
        <v>2</v>
      </c>
      <c r="E102" s="5" t="n">
        <v>3</v>
      </c>
      <c r="F102" s="9" t="n">
        <v>8</v>
      </c>
      <c r="G102" s="6">
        <f>A102*'⑤ 成長試算'!D14+B102*'⑤ 成長試算'!D11+C102*'⑤ 成長試算'!D8+D102*'⑤ 成長試算'!D5</f>
        <v/>
      </c>
      <c r="H102" s="6">
        <f>A102*'⑤ 成長試算'!D15+B102*'⑤ 成長試算'!D12+C102*'⑤ 成長試算'!D9+D102*'⑤ 成長試算'!D6</f>
        <v/>
      </c>
      <c r="I102" s="6">
        <f>(A102*'⑤ 成長試算'!D16+B102*'⑤ 成長試算'!D13+C102*'⑤ 成長試算'!D10+D102*'⑤ 成長試算'!D7)/E102</f>
        <v/>
      </c>
      <c r="J102" s="6">
        <f>IF('⑤ 成長試算'!M14="—","—",A102*'⑤ 成長試算'!M14+B102*'⑤ 成長試算'!M11+C102*'⑤ 成長試算'!M8+D102*'⑤ 成長試算'!M5)</f>
        <v/>
      </c>
      <c r="K102" s="6">
        <f>IF('⑤ 成長試算'!M15="—","—",A102*'⑤ 成長試算'!M15+B102*'⑤ 成長試算'!M12+C102*'⑤ 成長試算'!M9+D102*'⑤ 成長試算'!M6)</f>
        <v/>
      </c>
      <c r="L102" s="6">
        <f>IF('⑤ 成長試算'!M16="—","—",(A102*'⑤ 成長試算'!M16+B102*'⑤ 成長試算'!M13+C102*'⑤ 成長試算'!M10+D102*'⑤ 成長試算'!M7)/E102)</f>
        <v/>
      </c>
      <c r="M102" s="5" t="inlineStr"/>
    </row>
    <row r="103">
      <c r="A103" s="5" t="n">
        <v>0</v>
      </c>
      <c r="B103" s="5" t="n">
        <v>0</v>
      </c>
      <c r="C103" s="5" t="n">
        <v>2</v>
      </c>
      <c r="D103" s="5" t="n">
        <v>1</v>
      </c>
      <c r="E103" s="5" t="n">
        <v>3</v>
      </c>
      <c r="F103" s="9" t="n">
        <v>8</v>
      </c>
      <c r="G103" s="6">
        <f>A103*'⑤ 成長試算'!D14+B103*'⑤ 成長試算'!D11+C103*'⑤ 成長試算'!D8+D103*'⑤ 成長試算'!D5</f>
        <v/>
      </c>
      <c r="H103" s="6">
        <f>A103*'⑤ 成長試算'!D15+B103*'⑤ 成長試算'!D12+C103*'⑤ 成長試算'!D9+D103*'⑤ 成長試算'!D6</f>
        <v/>
      </c>
      <c r="I103" s="6">
        <f>(A103*'⑤ 成長試算'!D16+B103*'⑤ 成長試算'!D13+C103*'⑤ 成長試算'!D10+D103*'⑤ 成長試算'!D7)/E103</f>
        <v/>
      </c>
      <c r="J103" s="6">
        <f>IF('⑤ 成長試算'!M14="—","—",A103*'⑤ 成長試算'!M14+B103*'⑤ 成長試算'!M11+C103*'⑤ 成長試算'!M8+D103*'⑤ 成長試算'!M5)</f>
        <v/>
      </c>
      <c r="K103" s="6">
        <f>IF('⑤ 成長試算'!M15="—","—",A103*'⑤ 成長試算'!M15+B103*'⑤ 成長試算'!M12+C103*'⑤ 成長試算'!M9+D103*'⑤ 成長試算'!M6)</f>
        <v/>
      </c>
      <c r="L103" s="6">
        <f>IF('⑤ 成長試算'!M16="—","—",(A103*'⑤ 成長試算'!M16+B103*'⑤ 成長試算'!M13+C103*'⑤ 成長試算'!M10+D103*'⑤ 成長試算'!M7)/E103)</f>
        <v/>
      </c>
      <c r="M103" s="5" t="inlineStr"/>
    </row>
    <row r="104">
      <c r="A104" s="5" t="n">
        <v>0</v>
      </c>
      <c r="B104" s="5" t="n">
        <v>0</v>
      </c>
      <c r="C104" s="5" t="n">
        <v>1</v>
      </c>
      <c r="D104" s="5" t="n">
        <v>2</v>
      </c>
      <c r="E104" s="5" t="n">
        <v>3</v>
      </c>
      <c r="F104" s="9" t="n">
        <v>7</v>
      </c>
      <c r="G104" s="6">
        <f>A104*'⑤ 成長試算'!D14+B104*'⑤ 成長試算'!D11+C104*'⑤ 成長試算'!D8+D104*'⑤ 成長試算'!D5</f>
        <v/>
      </c>
      <c r="H104" s="6">
        <f>A104*'⑤ 成長試算'!D15+B104*'⑤ 成長試算'!D12+C104*'⑤ 成長試算'!D9+D104*'⑤ 成長試算'!D6</f>
        <v/>
      </c>
      <c r="I104" s="6">
        <f>(A104*'⑤ 成長試算'!D16+B104*'⑤ 成長試算'!D13+C104*'⑤ 成長試算'!D10+D104*'⑤ 成長試算'!D7)/E104</f>
        <v/>
      </c>
      <c r="J104" s="6">
        <f>IF('⑤ 成長試算'!M14="—","—",A104*'⑤ 成長試算'!M14+B104*'⑤ 成長試算'!M11+C104*'⑤ 成長試算'!M8+D104*'⑤ 成長試算'!M5)</f>
        <v/>
      </c>
      <c r="K104" s="6">
        <f>IF('⑤ 成長試算'!M15="—","—",A104*'⑤ 成長試算'!M15+B104*'⑤ 成長試算'!M12+C104*'⑤ 成長試算'!M9+D104*'⑤ 成長試算'!M6)</f>
        <v/>
      </c>
      <c r="L104" s="6">
        <f>IF('⑤ 成長試算'!M16="—","—",(A104*'⑤ 成長試算'!M16+B104*'⑤ 成長試算'!M13+C104*'⑤ 成長試算'!M10+D104*'⑤ 成長試算'!M7)/E104)</f>
        <v/>
      </c>
      <c r="M104" s="5" t="inlineStr"/>
    </row>
    <row r="105">
      <c r="A105" s="5" t="n">
        <v>0</v>
      </c>
      <c r="B105" s="5" t="n">
        <v>0</v>
      </c>
      <c r="C105" s="5" t="n">
        <v>0</v>
      </c>
      <c r="D105" s="5" t="n">
        <v>3</v>
      </c>
      <c r="E105" s="5" t="n">
        <v>3</v>
      </c>
      <c r="F105" s="9" t="n">
        <v>6</v>
      </c>
      <c r="G105" s="6">
        <f>A105*'⑤ 成長試算'!D14+B105*'⑤ 成長試算'!D11+C105*'⑤ 成長試算'!D8+D105*'⑤ 成長試算'!D5</f>
        <v/>
      </c>
      <c r="H105" s="6">
        <f>A105*'⑤ 成長試算'!D15+B105*'⑤ 成長試算'!D12+C105*'⑤ 成長試算'!D9+D105*'⑤ 成長試算'!D6</f>
        <v/>
      </c>
      <c r="I105" s="6">
        <f>(A105*'⑤ 成長試算'!D16+B105*'⑤ 成長試算'!D13+C105*'⑤ 成長試算'!D10+D105*'⑤ 成長試算'!D7)/E105</f>
        <v/>
      </c>
      <c r="J105" s="6">
        <f>IF('⑤ 成長試算'!M14="—","—",A105*'⑤ 成長試算'!M14+B105*'⑤ 成長試算'!M11+C105*'⑤ 成長試算'!M8+D105*'⑤ 成長試算'!M5)</f>
        <v/>
      </c>
      <c r="K105" s="6">
        <f>IF('⑤ 成長試算'!M15="—","—",A105*'⑤ 成長試算'!M15+B105*'⑤ 成長試算'!M12+C105*'⑤ 成長試算'!M9+D105*'⑤ 成長試算'!M6)</f>
        <v/>
      </c>
      <c r="L105" s="6">
        <f>IF('⑤ 成長試算'!M16="—","—",(A105*'⑤ 成長試算'!M16+B105*'⑤ 成長試算'!M13+C105*'⑤ 成長試算'!M10+D105*'⑤ 成長試算'!M7)/E105)</f>
        <v/>
      </c>
      <c r="M105" s="5" t="inlineStr">
        <is>
          <t>C単一（最安）</t>
        </is>
      </c>
    </row>
    <row r="106">
      <c r="A106" s="5" t="n">
        <v>2</v>
      </c>
      <c r="B106" s="5" t="n">
        <v>0</v>
      </c>
      <c r="C106" s="5" t="n">
        <v>0</v>
      </c>
      <c r="D106" s="5" t="n">
        <v>0</v>
      </c>
      <c r="E106" s="5" t="n">
        <v>2</v>
      </c>
      <c r="F106" s="9" t="n">
        <v>10</v>
      </c>
      <c r="G106" s="6">
        <f>A106*'⑤ 成長試算'!D14+B106*'⑤ 成長試算'!D11+C106*'⑤ 成長試算'!D8+D106*'⑤ 成長試算'!D5</f>
        <v/>
      </c>
      <c r="H106" s="6">
        <f>A106*'⑤ 成長試算'!D15+B106*'⑤ 成長試算'!D12+C106*'⑤ 成長試算'!D9+D106*'⑤ 成長試算'!D6</f>
        <v/>
      </c>
      <c r="I106" s="6">
        <f>(A106*'⑤ 成長試算'!D16+B106*'⑤ 成長試算'!D13+C106*'⑤ 成長試算'!D10+D106*'⑤ 成長試算'!D7)/E106</f>
        <v/>
      </c>
      <c r="J106" s="6">
        <f>IF('⑤ 成長試算'!M14="—","—",A106*'⑤ 成長試算'!M14+B106*'⑤ 成長試算'!M11+C106*'⑤ 成長試算'!M8+D106*'⑤ 成長試算'!M5)</f>
        <v/>
      </c>
      <c r="K106" s="6">
        <f>IF('⑤ 成長試算'!M15="—","—",A106*'⑤ 成長試算'!M15+B106*'⑤ 成長試算'!M12+C106*'⑤ 成長試算'!M9+D106*'⑤ 成長試算'!M6)</f>
        <v/>
      </c>
      <c r="L106" s="6">
        <f>IF('⑤ 成長試算'!M16="—","—",(A106*'⑤ 成長試算'!M16+B106*'⑤ 成長試算'!M13+C106*'⑤ 成長試算'!M10+D106*'⑤ 成長試算'!M7)/E106)</f>
        <v/>
      </c>
      <c r="M106" s="5" t="inlineStr">
        <is>
          <t>S単一</t>
        </is>
      </c>
    </row>
    <row r="107">
      <c r="A107" s="5" t="n">
        <v>1</v>
      </c>
      <c r="B107" s="5" t="n">
        <v>1</v>
      </c>
      <c r="C107" s="5" t="n">
        <v>0</v>
      </c>
      <c r="D107" s="5" t="n">
        <v>0</v>
      </c>
      <c r="E107" s="5" t="n">
        <v>2</v>
      </c>
      <c r="F107" s="9" t="n">
        <v>9</v>
      </c>
      <c r="G107" s="6">
        <f>A107*'⑤ 成長試算'!D14+B107*'⑤ 成長試算'!D11+C107*'⑤ 成長試算'!D8+D107*'⑤ 成長試算'!D5</f>
        <v/>
      </c>
      <c r="H107" s="6">
        <f>A107*'⑤ 成長試算'!D15+B107*'⑤ 成長試算'!D12+C107*'⑤ 成長試算'!D9+D107*'⑤ 成長試算'!D6</f>
        <v/>
      </c>
      <c r="I107" s="6">
        <f>(A107*'⑤ 成長試算'!D16+B107*'⑤ 成長試算'!D13+C107*'⑤ 成長試算'!D10+D107*'⑤ 成長試算'!D7)/E107</f>
        <v/>
      </c>
      <c r="J107" s="6">
        <f>IF('⑤ 成長試算'!M14="—","—",A107*'⑤ 成長試算'!M14+B107*'⑤ 成長試算'!M11+C107*'⑤ 成長試算'!M8+D107*'⑤ 成長試算'!M5)</f>
        <v/>
      </c>
      <c r="K107" s="6">
        <f>IF('⑤ 成長試算'!M15="—","—",A107*'⑤ 成長試算'!M15+B107*'⑤ 成長試算'!M12+C107*'⑤ 成長試算'!M9+D107*'⑤ 成長試算'!M6)</f>
        <v/>
      </c>
      <c r="L107" s="6">
        <f>IF('⑤ 成長試算'!M16="—","—",(A107*'⑤ 成長試算'!M16+B107*'⑤ 成長試算'!M13+C107*'⑤ 成長試算'!M10+D107*'⑤ 成長試算'!M7)/E107)</f>
        <v/>
      </c>
      <c r="M107" s="5" t="inlineStr"/>
    </row>
    <row r="108">
      <c r="A108" s="5" t="n">
        <v>1</v>
      </c>
      <c r="B108" s="5" t="n">
        <v>0</v>
      </c>
      <c r="C108" s="5" t="n">
        <v>1</v>
      </c>
      <c r="D108" s="5" t="n">
        <v>0</v>
      </c>
      <c r="E108" s="5" t="n">
        <v>2</v>
      </c>
      <c r="F108" s="9" t="n">
        <v>8</v>
      </c>
      <c r="G108" s="6">
        <f>A108*'⑤ 成長試算'!D14+B108*'⑤ 成長試算'!D11+C108*'⑤ 成長試算'!D8+D108*'⑤ 成長試算'!D5</f>
        <v/>
      </c>
      <c r="H108" s="6">
        <f>A108*'⑤ 成長試算'!D15+B108*'⑤ 成長試算'!D12+C108*'⑤ 成長試算'!D9+D108*'⑤ 成長試算'!D6</f>
        <v/>
      </c>
      <c r="I108" s="6">
        <f>(A108*'⑤ 成長試算'!D16+B108*'⑤ 成長試算'!D13+C108*'⑤ 成長試算'!D10+D108*'⑤ 成長試算'!D7)/E108</f>
        <v/>
      </c>
      <c r="J108" s="6">
        <f>IF('⑤ 成長試算'!M14="—","—",A108*'⑤ 成長試算'!M14+B108*'⑤ 成長試算'!M11+C108*'⑤ 成長試算'!M8+D108*'⑤ 成長試算'!M5)</f>
        <v/>
      </c>
      <c r="K108" s="6">
        <f>IF('⑤ 成長試算'!M15="—","—",A108*'⑤ 成長試算'!M15+B108*'⑤ 成長試算'!M12+C108*'⑤ 成長試算'!M9+D108*'⑤ 成長試算'!M6)</f>
        <v/>
      </c>
      <c r="L108" s="6">
        <f>IF('⑤ 成長試算'!M16="—","—",(A108*'⑤ 成長試算'!M16+B108*'⑤ 成長試算'!M13+C108*'⑤ 成長試算'!M10+D108*'⑤ 成長試算'!M7)/E108)</f>
        <v/>
      </c>
      <c r="M108" s="5" t="inlineStr"/>
    </row>
    <row r="109">
      <c r="A109" s="5" t="n">
        <v>0</v>
      </c>
      <c r="B109" s="5" t="n">
        <v>2</v>
      </c>
      <c r="C109" s="5" t="n">
        <v>0</v>
      </c>
      <c r="D109" s="5" t="n">
        <v>0</v>
      </c>
      <c r="E109" s="5" t="n">
        <v>2</v>
      </c>
      <c r="F109" s="9" t="n">
        <v>8</v>
      </c>
      <c r="G109" s="6">
        <f>A109*'⑤ 成長試算'!D14+B109*'⑤ 成長試算'!D11+C109*'⑤ 成長試算'!D8+D109*'⑤ 成長試算'!D5</f>
        <v/>
      </c>
      <c r="H109" s="6">
        <f>A109*'⑤ 成長試算'!D15+B109*'⑤ 成長試算'!D12+C109*'⑤ 成長試算'!D9+D109*'⑤ 成長試算'!D6</f>
        <v/>
      </c>
      <c r="I109" s="6">
        <f>(A109*'⑤ 成長試算'!D16+B109*'⑤ 成長試算'!D13+C109*'⑤ 成長試算'!D10+D109*'⑤ 成長試算'!D7)/E109</f>
        <v/>
      </c>
      <c r="J109" s="6">
        <f>IF('⑤ 成長試算'!M14="—","—",A109*'⑤ 成長試算'!M14+B109*'⑤ 成長試算'!M11+C109*'⑤ 成長試算'!M8+D109*'⑤ 成長試算'!M5)</f>
        <v/>
      </c>
      <c r="K109" s="6">
        <f>IF('⑤ 成長試算'!M15="—","—",A109*'⑤ 成長試算'!M15+B109*'⑤ 成長試算'!M12+C109*'⑤ 成長試算'!M9+D109*'⑤ 成長試算'!M6)</f>
        <v/>
      </c>
      <c r="L109" s="6">
        <f>IF('⑤ 成長試算'!M16="—","—",(A109*'⑤ 成長試算'!M16+B109*'⑤ 成長試算'!M13+C109*'⑤ 成長試算'!M10+D109*'⑤ 成長試算'!M7)/E109)</f>
        <v/>
      </c>
      <c r="M109" s="5" t="inlineStr"/>
    </row>
    <row r="110">
      <c r="A110" s="5" t="n">
        <v>1</v>
      </c>
      <c r="B110" s="5" t="n">
        <v>0</v>
      </c>
      <c r="C110" s="5" t="n">
        <v>0</v>
      </c>
      <c r="D110" s="5" t="n">
        <v>1</v>
      </c>
      <c r="E110" s="5" t="n">
        <v>2</v>
      </c>
      <c r="F110" s="9" t="n">
        <v>7</v>
      </c>
      <c r="G110" s="6">
        <f>A110*'⑤ 成長試算'!D14+B110*'⑤ 成長試算'!D11+C110*'⑤ 成長試算'!D8+D110*'⑤ 成長試算'!D5</f>
        <v/>
      </c>
      <c r="H110" s="6">
        <f>A110*'⑤ 成長試算'!D15+B110*'⑤ 成長試算'!D12+C110*'⑤ 成長試算'!D9+D110*'⑤ 成長試算'!D6</f>
        <v/>
      </c>
      <c r="I110" s="6">
        <f>(A110*'⑤ 成長試算'!D16+B110*'⑤ 成長試算'!D13+C110*'⑤ 成長試算'!D10+D110*'⑤ 成長試算'!D7)/E110</f>
        <v/>
      </c>
      <c r="J110" s="6">
        <f>IF('⑤ 成長試算'!M14="—","—",A110*'⑤ 成長試算'!M14+B110*'⑤ 成長試算'!M11+C110*'⑤ 成長試算'!M8+D110*'⑤ 成長試算'!M5)</f>
        <v/>
      </c>
      <c r="K110" s="6">
        <f>IF('⑤ 成長試算'!M15="—","—",A110*'⑤ 成長試算'!M15+B110*'⑤ 成長試算'!M12+C110*'⑤ 成長試算'!M9+D110*'⑤ 成長試算'!M6)</f>
        <v/>
      </c>
      <c r="L110" s="6">
        <f>IF('⑤ 成長試算'!M16="—","—",(A110*'⑤ 成長試算'!M16+B110*'⑤ 成長試算'!M13+C110*'⑤ 成長試算'!M10+D110*'⑤ 成長試算'!M7)/E110)</f>
        <v/>
      </c>
      <c r="M110" s="5" t="inlineStr"/>
    </row>
    <row r="111">
      <c r="A111" s="5" t="n">
        <v>0</v>
      </c>
      <c r="B111" s="5" t="n">
        <v>1</v>
      </c>
      <c r="C111" s="5" t="n">
        <v>1</v>
      </c>
      <c r="D111" s="5" t="n">
        <v>0</v>
      </c>
      <c r="E111" s="5" t="n">
        <v>2</v>
      </c>
      <c r="F111" s="9" t="n">
        <v>7</v>
      </c>
      <c r="G111" s="6">
        <f>A111*'⑤ 成長試算'!D14+B111*'⑤ 成長試算'!D11+C111*'⑤ 成長試算'!D8+D111*'⑤ 成長試算'!D5</f>
        <v/>
      </c>
      <c r="H111" s="6">
        <f>A111*'⑤ 成長試算'!D15+B111*'⑤ 成長試算'!D12+C111*'⑤ 成長試算'!D9+D111*'⑤ 成長試算'!D6</f>
        <v/>
      </c>
      <c r="I111" s="6">
        <f>(A111*'⑤ 成長試算'!D16+B111*'⑤ 成長試算'!D13+C111*'⑤ 成長試算'!D10+D111*'⑤ 成長試算'!D7)/E111</f>
        <v/>
      </c>
      <c r="J111" s="6">
        <f>IF('⑤ 成長試算'!M14="—","—",A111*'⑤ 成長試算'!M14+B111*'⑤ 成長試算'!M11+C111*'⑤ 成長試算'!M8+D111*'⑤ 成長試算'!M5)</f>
        <v/>
      </c>
      <c r="K111" s="6">
        <f>IF('⑤ 成長試算'!M15="—","—",A111*'⑤ 成長試算'!M15+B111*'⑤ 成長試算'!M12+C111*'⑤ 成長試算'!M9+D111*'⑤ 成長試算'!M6)</f>
        <v/>
      </c>
      <c r="L111" s="6">
        <f>IF('⑤ 成長試算'!M16="—","—",(A111*'⑤ 成長試算'!M16+B111*'⑤ 成長試算'!M13+C111*'⑤ 成長試算'!M10+D111*'⑤ 成長試算'!M7)/E111)</f>
        <v/>
      </c>
      <c r="M111" s="5" t="inlineStr"/>
    </row>
    <row r="112">
      <c r="A112" s="5" t="n">
        <v>0</v>
      </c>
      <c r="B112" s="5" t="n">
        <v>1</v>
      </c>
      <c r="C112" s="5" t="n">
        <v>0</v>
      </c>
      <c r="D112" s="5" t="n">
        <v>1</v>
      </c>
      <c r="E112" s="5" t="n">
        <v>2</v>
      </c>
      <c r="F112" s="9" t="n">
        <v>6</v>
      </c>
      <c r="G112" s="6">
        <f>A112*'⑤ 成長試算'!D14+B112*'⑤ 成長試算'!D11+C112*'⑤ 成長試算'!D8+D112*'⑤ 成長試算'!D5</f>
        <v/>
      </c>
      <c r="H112" s="6">
        <f>A112*'⑤ 成長試算'!D15+B112*'⑤ 成長試算'!D12+C112*'⑤ 成長試算'!D9+D112*'⑤ 成長試算'!D6</f>
        <v/>
      </c>
      <c r="I112" s="6">
        <f>(A112*'⑤ 成長試算'!D16+B112*'⑤ 成長試算'!D13+C112*'⑤ 成長試算'!D10+D112*'⑤ 成長試算'!D7)/E112</f>
        <v/>
      </c>
      <c r="J112" s="6">
        <f>IF('⑤ 成長試算'!M14="—","—",A112*'⑤ 成長試算'!M14+B112*'⑤ 成長試算'!M11+C112*'⑤ 成長試算'!M8+D112*'⑤ 成長試算'!M5)</f>
        <v/>
      </c>
      <c r="K112" s="6">
        <f>IF('⑤ 成長試算'!M15="—","—",A112*'⑤ 成長試算'!M15+B112*'⑤ 成長試算'!M12+C112*'⑤ 成長試算'!M9+D112*'⑤ 成長試算'!M6)</f>
        <v/>
      </c>
      <c r="L112" s="6">
        <f>IF('⑤ 成長試算'!M16="—","—",(A112*'⑤ 成長試算'!M16+B112*'⑤ 成長試算'!M13+C112*'⑤ 成長試算'!M10+D112*'⑤ 成長試算'!M7)/E112)</f>
        <v/>
      </c>
      <c r="M112" s="5" t="inlineStr"/>
    </row>
    <row r="113">
      <c r="A113" s="5" t="n">
        <v>0</v>
      </c>
      <c r="B113" s="5" t="n">
        <v>0</v>
      </c>
      <c r="C113" s="5" t="n">
        <v>2</v>
      </c>
      <c r="D113" s="5" t="n">
        <v>0</v>
      </c>
      <c r="E113" s="5" t="n">
        <v>2</v>
      </c>
      <c r="F113" s="9" t="n">
        <v>6</v>
      </c>
      <c r="G113" s="6">
        <f>A113*'⑤ 成長試算'!D14+B113*'⑤ 成長試算'!D11+C113*'⑤ 成長試算'!D8+D113*'⑤ 成長試算'!D5</f>
        <v/>
      </c>
      <c r="H113" s="6">
        <f>A113*'⑤ 成長試算'!D15+B113*'⑤ 成長試算'!D12+C113*'⑤ 成長試算'!D9+D113*'⑤ 成長試算'!D6</f>
        <v/>
      </c>
      <c r="I113" s="6">
        <f>(A113*'⑤ 成長試算'!D16+B113*'⑤ 成長試算'!D13+C113*'⑤ 成長試算'!D10+D113*'⑤ 成長試算'!D7)/E113</f>
        <v/>
      </c>
      <c r="J113" s="6">
        <f>IF('⑤ 成長試算'!M14="—","—",A113*'⑤ 成長試算'!M14+B113*'⑤ 成長試算'!M11+C113*'⑤ 成長試算'!M8+D113*'⑤ 成長試算'!M5)</f>
        <v/>
      </c>
      <c r="K113" s="6">
        <f>IF('⑤ 成長試算'!M15="—","—",A113*'⑤ 成長試算'!M15+B113*'⑤ 成長試算'!M12+C113*'⑤ 成長試算'!M9+D113*'⑤ 成長試算'!M6)</f>
        <v/>
      </c>
      <c r="L113" s="6">
        <f>IF('⑤ 成長試算'!M16="—","—",(A113*'⑤ 成長試算'!M16+B113*'⑤ 成長試算'!M13+C113*'⑤ 成長試算'!M10+D113*'⑤ 成長試算'!M7)/E113)</f>
        <v/>
      </c>
      <c r="M113" s="5" t="inlineStr"/>
    </row>
    <row r="114">
      <c r="A114" s="5" t="n">
        <v>0</v>
      </c>
      <c r="B114" s="5" t="n">
        <v>0</v>
      </c>
      <c r="C114" s="5" t="n">
        <v>1</v>
      </c>
      <c r="D114" s="5" t="n">
        <v>1</v>
      </c>
      <c r="E114" s="5" t="n">
        <v>2</v>
      </c>
      <c r="F114" s="9" t="n">
        <v>5</v>
      </c>
      <c r="G114" s="6">
        <f>A114*'⑤ 成長試算'!D14+B114*'⑤ 成長試算'!D11+C114*'⑤ 成長試算'!D8+D114*'⑤ 成長試算'!D5</f>
        <v/>
      </c>
      <c r="H114" s="6">
        <f>A114*'⑤ 成長試算'!D15+B114*'⑤ 成長試算'!D12+C114*'⑤ 成長試算'!D9+D114*'⑤ 成長試算'!D6</f>
        <v/>
      </c>
      <c r="I114" s="6">
        <f>(A114*'⑤ 成長試算'!D16+B114*'⑤ 成長試算'!D13+C114*'⑤ 成長試算'!D10+D114*'⑤ 成長試算'!D7)/E114</f>
        <v/>
      </c>
      <c r="J114" s="6">
        <f>IF('⑤ 成長試算'!M14="—","—",A114*'⑤ 成長試算'!M14+B114*'⑤ 成長試算'!M11+C114*'⑤ 成長試算'!M8+D114*'⑤ 成長試算'!M5)</f>
        <v/>
      </c>
      <c r="K114" s="6">
        <f>IF('⑤ 成長試算'!M15="—","—",A114*'⑤ 成長試算'!M15+B114*'⑤ 成長試算'!M12+C114*'⑤ 成長試算'!M9+D114*'⑤ 成長試算'!M6)</f>
        <v/>
      </c>
      <c r="L114" s="6">
        <f>IF('⑤ 成長試算'!M16="—","—",(A114*'⑤ 成長試算'!M16+B114*'⑤ 成長試算'!M13+C114*'⑤ 成長試算'!M10+D114*'⑤ 成長試算'!M7)/E114)</f>
        <v/>
      </c>
      <c r="M114" s="5" t="inlineStr"/>
    </row>
    <row r="115">
      <c r="A115" s="5" t="n">
        <v>0</v>
      </c>
      <c r="B115" s="5" t="n">
        <v>0</v>
      </c>
      <c r="C115" s="5" t="n">
        <v>0</v>
      </c>
      <c r="D115" s="5" t="n">
        <v>2</v>
      </c>
      <c r="E115" s="5" t="n">
        <v>2</v>
      </c>
      <c r="F115" s="9" t="n">
        <v>4</v>
      </c>
      <c r="G115" s="6">
        <f>A115*'⑤ 成長試算'!D14+B115*'⑤ 成長試算'!D11+C115*'⑤ 成長試算'!D8+D115*'⑤ 成長試算'!D5</f>
        <v/>
      </c>
      <c r="H115" s="6">
        <f>A115*'⑤ 成長試算'!D15+B115*'⑤ 成長試算'!D12+C115*'⑤ 成長試算'!D9+D115*'⑤ 成長試算'!D6</f>
        <v/>
      </c>
      <c r="I115" s="6">
        <f>(A115*'⑤ 成長試算'!D16+B115*'⑤ 成長試算'!D13+C115*'⑤ 成長試算'!D10+D115*'⑤ 成長試算'!D7)/E115</f>
        <v/>
      </c>
      <c r="J115" s="6">
        <f>IF('⑤ 成長試算'!M14="—","—",A115*'⑤ 成長試算'!M14+B115*'⑤ 成長試算'!M11+C115*'⑤ 成長試算'!M8+D115*'⑤ 成長試算'!M5)</f>
        <v/>
      </c>
      <c r="K115" s="6">
        <f>IF('⑤ 成長試算'!M15="—","—",A115*'⑤ 成長試算'!M15+B115*'⑤ 成長試算'!M12+C115*'⑤ 成長試算'!M9+D115*'⑤ 成長試算'!M6)</f>
        <v/>
      </c>
      <c r="L115" s="6">
        <f>IF('⑤ 成長試算'!M16="—","—",(A115*'⑤ 成長試算'!M16+B115*'⑤ 成長試算'!M13+C115*'⑤ 成長試算'!M10+D115*'⑤ 成長試算'!M7)/E115)</f>
        <v/>
      </c>
      <c r="M115" s="5" t="inlineStr">
        <is>
          <t>C単一（最安）</t>
        </is>
      </c>
    </row>
    <row r="116">
      <c r="A116" s="5" t="n">
        <v>1</v>
      </c>
      <c r="B116" s="5" t="n">
        <v>0</v>
      </c>
      <c r="C116" s="5" t="n">
        <v>0</v>
      </c>
      <c r="D116" s="5" t="n">
        <v>0</v>
      </c>
      <c r="E116" s="5" t="n">
        <v>1</v>
      </c>
      <c r="F116" s="9" t="n">
        <v>5</v>
      </c>
      <c r="G116" s="6">
        <f>A116*'⑤ 成長試算'!D14+B116*'⑤ 成長試算'!D11+C116*'⑤ 成長試算'!D8+D116*'⑤ 成長試算'!D5</f>
        <v/>
      </c>
      <c r="H116" s="6">
        <f>A116*'⑤ 成長試算'!D15+B116*'⑤ 成長試算'!D12+C116*'⑤ 成長試算'!D9+D116*'⑤ 成長試算'!D6</f>
        <v/>
      </c>
      <c r="I116" s="6">
        <f>(A116*'⑤ 成長試算'!D16+B116*'⑤ 成長試算'!D13+C116*'⑤ 成長試算'!D10+D116*'⑤ 成長試算'!D7)/E116</f>
        <v/>
      </c>
      <c r="J116" s="6">
        <f>IF('⑤ 成長試算'!M14="—","—",A116*'⑤ 成長試算'!M14+B116*'⑤ 成長試算'!M11+C116*'⑤ 成長試算'!M8+D116*'⑤ 成長試算'!M5)</f>
        <v/>
      </c>
      <c r="K116" s="6">
        <f>IF('⑤ 成長試算'!M15="—","—",A116*'⑤ 成長試算'!M15+B116*'⑤ 成長試算'!M12+C116*'⑤ 成長試算'!M9+D116*'⑤ 成長試算'!M6)</f>
        <v/>
      </c>
      <c r="L116" s="6">
        <f>IF('⑤ 成長試算'!M16="—","—",(A116*'⑤ 成長試算'!M16+B116*'⑤ 成長試算'!M13+C116*'⑤ 成長試算'!M10+D116*'⑤ 成長試算'!M7)/E116)</f>
        <v/>
      </c>
      <c r="M116" s="5" t="inlineStr">
        <is>
          <t>S単一</t>
        </is>
      </c>
    </row>
    <row r="117">
      <c r="A117" s="5" t="n">
        <v>0</v>
      </c>
      <c r="B117" s="5" t="n">
        <v>1</v>
      </c>
      <c r="C117" s="5" t="n">
        <v>0</v>
      </c>
      <c r="D117" s="5" t="n">
        <v>0</v>
      </c>
      <c r="E117" s="5" t="n">
        <v>1</v>
      </c>
      <c r="F117" s="9" t="n">
        <v>4</v>
      </c>
      <c r="G117" s="6">
        <f>A117*'⑤ 成長試算'!D14+B117*'⑤ 成長試算'!D11+C117*'⑤ 成長試算'!D8+D117*'⑤ 成長試算'!D5</f>
        <v/>
      </c>
      <c r="H117" s="6">
        <f>A117*'⑤ 成長試算'!D15+B117*'⑤ 成長試算'!D12+C117*'⑤ 成長試算'!D9+D117*'⑤ 成長試算'!D6</f>
        <v/>
      </c>
      <c r="I117" s="6">
        <f>(A117*'⑤ 成長試算'!D16+B117*'⑤ 成長試算'!D13+C117*'⑤ 成長試算'!D10+D117*'⑤ 成長試算'!D7)/E117</f>
        <v/>
      </c>
      <c r="J117" s="6">
        <f>IF('⑤ 成長試算'!M14="—","—",A117*'⑤ 成長試算'!M14+B117*'⑤ 成長試算'!M11+C117*'⑤ 成長試算'!M8+D117*'⑤ 成長試算'!M5)</f>
        <v/>
      </c>
      <c r="K117" s="6">
        <f>IF('⑤ 成長試算'!M15="—","—",A117*'⑤ 成長試算'!M15+B117*'⑤ 成長試算'!M12+C117*'⑤ 成長試算'!M9+D117*'⑤ 成長試算'!M6)</f>
        <v/>
      </c>
      <c r="L117" s="6">
        <f>IF('⑤ 成長試算'!M16="—","—",(A117*'⑤ 成長試算'!M16+B117*'⑤ 成長試算'!M13+C117*'⑤ 成長試算'!M10+D117*'⑤ 成長試算'!M7)/E117)</f>
        <v/>
      </c>
      <c r="M117" s="5" t="inlineStr"/>
    </row>
    <row r="118">
      <c r="A118" s="5" t="n">
        <v>0</v>
      </c>
      <c r="B118" s="5" t="n">
        <v>0</v>
      </c>
      <c r="C118" s="5" t="n">
        <v>1</v>
      </c>
      <c r="D118" s="5" t="n">
        <v>0</v>
      </c>
      <c r="E118" s="5" t="n">
        <v>1</v>
      </c>
      <c r="F118" s="9" t="n">
        <v>3</v>
      </c>
      <c r="G118" s="6">
        <f>A118*'⑤ 成長試算'!D14+B118*'⑤ 成長試算'!D11+C118*'⑤ 成長試算'!D8+D118*'⑤ 成長試算'!D5</f>
        <v/>
      </c>
      <c r="H118" s="6">
        <f>A118*'⑤ 成長試算'!D15+B118*'⑤ 成長試算'!D12+C118*'⑤ 成長試算'!D9+D118*'⑤ 成長試算'!D6</f>
        <v/>
      </c>
      <c r="I118" s="6">
        <f>(A118*'⑤ 成長試算'!D16+B118*'⑤ 成長試算'!D13+C118*'⑤ 成長試算'!D10+D118*'⑤ 成長試算'!D7)/E118</f>
        <v/>
      </c>
      <c r="J118" s="6">
        <f>IF('⑤ 成長試算'!M14="—","—",A118*'⑤ 成長試算'!M14+B118*'⑤ 成長試算'!M11+C118*'⑤ 成長試算'!M8+D118*'⑤ 成長試算'!M5)</f>
        <v/>
      </c>
      <c r="K118" s="6">
        <f>IF('⑤ 成長試算'!M15="—","—",A118*'⑤ 成長試算'!M15+B118*'⑤ 成長試算'!M12+C118*'⑤ 成長試算'!M9+D118*'⑤ 成長試算'!M6)</f>
        <v/>
      </c>
      <c r="L118" s="6">
        <f>IF('⑤ 成長試算'!M16="—","—",(A118*'⑤ 成長試算'!M16+B118*'⑤ 成長試算'!M13+C118*'⑤ 成長試算'!M10+D118*'⑤ 成長試算'!M7)/E118)</f>
        <v/>
      </c>
      <c r="M118" s="5" t="inlineStr"/>
    </row>
    <row r="119">
      <c r="A119" s="5" t="n">
        <v>0</v>
      </c>
      <c r="B119" s="5" t="n">
        <v>0</v>
      </c>
      <c r="C119" s="5" t="n">
        <v>0</v>
      </c>
      <c r="D119" s="5" t="n">
        <v>1</v>
      </c>
      <c r="E119" s="5" t="n">
        <v>1</v>
      </c>
      <c r="F119" s="9" t="n">
        <v>2</v>
      </c>
      <c r="G119" s="6">
        <f>A119*'⑤ 成長試算'!D14+B119*'⑤ 成長試算'!D11+C119*'⑤ 成長試算'!D8+D119*'⑤ 成長試算'!D5</f>
        <v/>
      </c>
      <c r="H119" s="6">
        <f>A119*'⑤ 成長試算'!D15+B119*'⑤ 成長試算'!D12+C119*'⑤ 成長試算'!D9+D119*'⑤ 成長試算'!D6</f>
        <v/>
      </c>
      <c r="I119" s="6">
        <f>(A119*'⑤ 成長試算'!D16+B119*'⑤ 成長試算'!D13+C119*'⑤ 成長試算'!D10+D119*'⑤ 成長試算'!D7)/E119</f>
        <v/>
      </c>
      <c r="J119" s="6">
        <f>IF('⑤ 成長試算'!M14="—","—",A119*'⑤ 成長試算'!M14+B119*'⑤ 成長試算'!M11+C119*'⑤ 成長試算'!M8+D119*'⑤ 成長試算'!M5)</f>
        <v/>
      </c>
      <c r="K119" s="6">
        <f>IF('⑤ 成長試算'!M15="—","—",A119*'⑤ 成長試算'!M15+B119*'⑤ 成長試算'!M12+C119*'⑤ 成長試算'!M9+D119*'⑤ 成長試算'!M6)</f>
        <v/>
      </c>
      <c r="L119" s="6">
        <f>IF('⑤ 成長試算'!M16="—","—",(A119*'⑤ 成長試算'!M16+B119*'⑤ 成長試算'!M13+C119*'⑤ 成長試算'!M10+D119*'⑤ 成長試算'!M7)/E119)</f>
        <v/>
      </c>
      <c r="M119" s="5" t="inlineStr">
        <is>
          <t>C単一（最安）</t>
        </is>
      </c>
    </row>
    <row r="121">
      <c r="A121" s="3" t="inlineStr">
        <is>
          <t xml:space="preserve">　編成の組み合わせ: 114通り（体数5以下・COST20以内）</t>
        </is>
      </c>
    </row>
    <row r="122">
      <c r="A122" s="3" t="inlineStr">
        <is>
          <t xml:space="preserve">　※ ランクごとの平均値で計算しています。実際は使い魔ごとに能力値が違います。</t>
        </is>
      </c>
    </row>
  </sheetData>
  <autoFilter ref="A5:M119"/>
  <mergeCells count="5">
    <mergeCell ref="A1:M1"/>
    <mergeCell ref="A3:M3"/>
    <mergeCell ref="A122:M122"/>
    <mergeCell ref="A2:M2"/>
    <mergeCell ref="A121:M1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22" customHeight="1">
      <c r="A1" s="1" t="inlineStr">
        <is>
          <t xml:space="preserve">  ⑦ AIプロンプト　— 生成AIに戦闘シミュレーションを頼むための文章</t>
        </is>
      </c>
    </row>
    <row r="2">
      <c r="A2" s="3" t="inlineStr">
        <is>
          <t xml:space="preserve">　　下のB6セルをコピーして、そのままAIに貼り付けてください。③パラメータの値が入ります。</t>
        </is>
      </c>
    </row>
    <row r="4">
      <c r="B4" s="2" t="inlineStr">
        <is>
          <t>■ コピーする文章（③パラメータの現在値が自動で入ります）</t>
        </is>
      </c>
    </row>
    <row r="6" ht="420" customHeight="1">
      <c r="B6" s="20">
        <f>"あなたはゲームバランス設計の専門家です。"&amp;CHAR(10)&amp;"Discord上で動く対戦ゲーム「ラグナオンライン」のバランスを見てください。"&amp;CHAR(10)&amp;CHAR(10)&amp;"【ゲームの仕組み】"&amp;CHAR(10)&amp;"・ギルド同士が使い魔を出し合って戦うターン制バトルです。"&amp;CHAR(10)&amp;"・使い魔にはC/B/A/Sのランクがあり、COSTはC=2 B=3 A=4 S=5です。"&amp;CHAR(10)&amp;"・編成は合計COSTの上限内で組みます。SPDの高い順に行動します。"&amp;CHAR(10)&amp;"・同じ使い魔を合成するとレベルが上がり、HPとATKが伸びます。"&amp;CHAR(10)&amp;"・スキルの効果量はATKや最大HPに対する割合で決まるため、"&amp;CHAR(10)&amp;"　能力値を上げるとスキルの威力も一緒に上がります。"&amp;CHAR(10)&amp;CHAR(10)&amp;"【パラメータ】"&amp;CHAR(10)&amp;"・使い魔の数: C="&amp;'③ パラメータ'!C5&amp;"体 B="&amp;'③ パラメータ'!C6&amp;"体 A="&amp;'③ パラメータ'!C7&amp;"体 S="&amp;'③ パラメータ'!C8&amp;"体"&amp;CHAR(10)&amp;"・排出率(単発): C="&amp;'③ パラメータ'!C13/10&amp;"% B="&amp;'③ パラメータ'!C14/10&amp;"% A="&amp;'③ パラメータ'!C15/10&amp;"% S="&amp;'③ パラメータ'!C16/10&amp;"%"&amp;CHAR(10)&amp;"・最大レベル: Lv"&amp;'③ パラメータ'!C32&amp;"（1レベルにつき同じ使い魔"&amp;'③ パラメータ'!C33&amp;"体が必要）"&amp;CHAR(10)&amp;"・成長のしかた: "&amp;'③ パラメータ'!C34&amp;CHAR(10)&amp;"・合成1回の成長量: C(HP"&amp;'③ パラメータ'!B25&amp;"/ATK"&amp;'③ パラメータ'!C25&amp;") B(HP"&amp;'③ パラメータ'!B26&amp;"/ATK"&amp;'③ パラメータ'!C26&amp;") A(HP"&amp;'③ パラメータ'!B27&amp;"/ATK"&amp;'③ パラメータ'!C27&amp;") S(HP"&amp;'③ パラメータ'!B28&amp;"/ATK"&amp;'③ パラメータ'!C28&amp;")"&amp;CHAR(10)&amp;"　（率の場合: C="&amp;'③ パラメータ'!D25*100&amp;"% B="&amp;'③ パラメータ'!D26*100&amp;"% A="&amp;'③ パラメータ'!D27*100&amp;"% S="&amp;'③ パラメータ'!D28*100&amp;"%）"&amp;CHAR(10)&amp;"・ガチャ単発費用: "&amp;TEXT('③ パラメータ'!C21,"#,##0")&amp;" coin"&amp;CHAR(10)&amp;"・合計COST上限: "&amp;'③ パラメータ'!C51&amp;"／出場"&amp;'③ パラメータ'!C52&amp;"体"&amp;CHAR(10)&amp;CHAR(10)&amp;"【お願いしたいこと】"&amp;CHAR(10)&amp;"1. この設定で、どのランクの使い魔が有利になるか教えてください。"&amp;CHAR(10)&amp;"2. 合計COST上限の中で、一番強い編成の組み方は何になりますか。"&amp;CHAR(10)&amp;"　 （高COSTを少数か、低COSTを多数か、どちらが有利になるか）"&amp;CHAR(10)&amp;"3. 壊れている（強すぎる・弱すぎる）ところがあれば指摘してください。"&amp;CHAR(10)&amp;"4. 直すとしたら、どのパラメータをいくつにするのが良いか提案してください。"&amp;CHAR(10)&amp;CHAR(10)&amp;"【答え方】"&amp;CHAR(10)&amp;"・数字の根拠を必ず示してください。"&amp;CHAR(10)&amp;"・「なんとなく強い」ではなく、何ターンで倒せるかなどで比べてください。"&amp;CHAR(10)&amp;"・日本語で、専門用語を使わずに説明してください。"</f>
        <v/>
      </c>
    </row>
    <row r="8">
      <c r="B8" s="2" t="inlineStr">
        <is>
          <t>■ 使い魔のデータも渡したいとき</t>
        </is>
      </c>
    </row>
    <row r="9">
      <c r="B9" s="3" t="inlineStr">
        <is>
          <t xml:space="preserve">　②使い魔一覧のシートをコピーして、上の文章のあとに貼り付けてください。</t>
        </is>
      </c>
    </row>
    <row r="10">
      <c r="B10" s="3" t="inlineStr">
        <is>
          <t xml:space="preserve">　50体ぶんの能力値とスキルが渡るので、より細かく見てもらえます。</t>
        </is>
      </c>
    </row>
    <row r="11">
      <c r="B11" s="3" t="inlineStr"/>
    </row>
    <row r="12">
      <c r="B12" s="2" t="inlineStr">
        <is>
          <t>■ 結果をシートに戻すとき</t>
        </is>
      </c>
    </row>
    <row r="13">
      <c r="B13" s="3" t="inlineStr">
        <is>
          <t xml:space="preserve">　AIの提案した数値を③パラメータの「試す値」列に入れると、</t>
        </is>
      </c>
    </row>
    <row r="14">
      <c r="B14" s="3" t="inlineStr">
        <is>
          <t xml:space="preserve">　④ガチャ試算・⑤成長試算・⑥デッキ試算がその場で計算し直されます。</t>
        </is>
      </c>
    </row>
    <row r="15">
      <c r="B15" s="3" t="inlineStr">
        <is>
          <t xml:space="preserve">　見比べて良さそうなら教えてください。data/master/*.json へ反映します。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2026-08-22T05:45:26Z</dcterms:created>
  <dcterms:modified xsi:type="dcterms:W3CDTF">2026-08-22T05:45:26Z</dcterms:modified>
</cp:coreProperties>
</file>