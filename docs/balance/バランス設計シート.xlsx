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① 使い方" sheetId="1" state="visible" r:id="rId1"/>
    <sheet name="② 使い魔一覧" sheetId="2" state="visible" r:id="rId2"/>
    <sheet name="③ パラメータ" sheetId="3" state="visible" r:id="rId3"/>
    <sheet name="④ ガチャ試算" sheetId="4" state="visible" r:id="rId4"/>
    <sheet name="⑤ 成長試算" sheetId="5" state="visible" r:id="rId5"/>
    <sheet name="⑥ デッキ試算" sheetId="6" state="visible" r:id="rId6"/>
    <sheet name="⑦ AIプロンプト" sheetId="7" state="visible" r:id="rId7"/>
  </sheets>
  <definedNames>
    <definedName name="_xlnm._FilterDatabase" localSheetId="1" hidden="1">'② 使い魔一覧'!$A$4:$S$54</definedName>
    <definedName name="_xlnm._FilterDatabase" localSheetId="5" hidden="1">'⑥ デッキ試算'!$A$5:$P$119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1"/>
    </font>
    <font>
      <color rgb="00666666"/>
      <sz val="9"/>
    </font>
    <font>
      <b val="1"/>
      <sz val="10"/>
    </font>
    <font>
      <b val="1"/>
      <color rgb="00CC0000"/>
    </font>
  </fonts>
  <fills count="6">
    <fill>
      <patternFill/>
    </fill>
    <fill>
      <patternFill patternType="gray125"/>
    </fill>
    <fill>
      <patternFill patternType="solid">
        <fgColor rgb="002B2D31"/>
      </patternFill>
    </fill>
    <fill>
      <patternFill patternType="solid">
        <fgColor rgb="00D9D9D9"/>
      </patternFill>
    </fill>
    <fill>
      <patternFill patternType="solid">
        <fgColor rgb="00FFF3C4"/>
      </patternFill>
    </fill>
    <fill>
      <patternFill patternType="solid">
        <fgColor rgb="00EAF3F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4" borderId="1" pivotButton="0" quotePrefix="0" xfId="0"/>
    <xf numFmtId="1" fontId="0" fillId="5" borderId="1" pivotButton="0" quotePrefix="0" xfId="0"/>
    <xf numFmtId="0" fontId="0" fillId="0" borderId="1" applyAlignment="1" pivotButton="0" quotePrefix="0" xfId="0">
      <alignment vertical="top" wrapText="1"/>
    </xf>
    <xf numFmtId="0" fontId="4" fillId="3" borderId="0" pivotButton="0" quotePrefix="0" xfId="0"/>
    <xf numFmtId="0" fontId="0" fillId="5" borderId="1" pivotButton="0" quotePrefix="0" xfId="0"/>
    <xf numFmtId="164" fontId="0" fillId="4" borderId="1" pivotButton="0" quotePrefix="0" xfId="0"/>
    <xf numFmtId="164" fontId="0" fillId="5" borderId="1" pivotButton="0" quotePrefix="0" xfId="0"/>
    <xf numFmtId="0" fontId="5" fillId="0" borderId="0" pivotButton="0" quotePrefix="0" xfId="0"/>
    <xf numFmtId="3" fontId="0" fillId="4" borderId="1" pivotButton="0" quotePrefix="0" xfId="0"/>
    <xf numFmtId="165" fontId="0" fillId="5" borderId="1" pivotButton="0" quotePrefix="0" xfId="0"/>
    <xf numFmtId="3" fontId="0" fillId="5" borderId="1" pivotButton="0" quotePrefix="0" xfId="0"/>
    <xf numFmtId="2" fontId="0" fillId="5" borderId="1" pivotButton="0" quotePrefix="0" xfId="0"/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1" ht="22" customHeight="1">
      <c r="A1" s="1" t="inlineStr">
        <is>
          <t xml:space="preserve">  ラグナオンライン バランス設計シート</t>
        </is>
      </c>
    </row>
    <row r="2">
      <c r="B2" t="inlineStr"/>
    </row>
    <row r="3">
      <c r="B3" s="2" t="inlineStr">
        <is>
          <t>■ 触ってよいのは黄色のセルだけです</t>
        </is>
      </c>
    </row>
    <row r="4">
      <c r="B4" t="inlineStr">
        <is>
          <t xml:space="preserve">　黄色 … あなたが書き換えるところ</t>
        </is>
      </c>
    </row>
    <row r="5">
      <c r="B5" t="inlineStr">
        <is>
          <t xml:space="preserve">　水色 … 自動計算。書き換えると数式が消えるので触らないでください</t>
        </is>
      </c>
    </row>
    <row r="6">
      <c r="B6" t="inlineStr"/>
    </row>
    <row r="7">
      <c r="B7" s="2" t="inlineStr">
        <is>
          <t>■ 書き換えるところは2か所です</t>
        </is>
      </c>
    </row>
    <row r="8">
      <c r="B8" t="inlineStr">
        <is>
          <t xml:space="preserve">　② 使い魔一覧のE〜G列 … 使い魔ごとの Lv1 の HP・ATK・SPD</t>
        </is>
      </c>
    </row>
    <row r="9">
      <c r="B9" t="inlineStr">
        <is>
          <t xml:space="preserve">　③ パラメータ　　　　 … 使い魔の数、排出率、成長量、費用など</t>
        </is>
      </c>
    </row>
    <row r="10">
      <c r="B10" t="inlineStr"/>
    </row>
    <row r="11">
      <c r="B11" s="2" t="inlineStr">
        <is>
          <t>■ 成長のしかた</t>
        </is>
      </c>
    </row>
    <row r="12">
      <c r="B12" t="inlineStr">
        <is>
          <t xml:space="preserve">　　Lvn の能力値 ＝ Lv1の能力値 ＋ 固定値 ×（n − 1）</t>
        </is>
      </c>
    </row>
    <row r="13">
      <c r="B13" t="inlineStr">
        <is>
          <t xml:space="preserve">　　SPDは成長しません（Lv1の値のまま）</t>
        </is>
      </c>
    </row>
    <row r="14">
      <c r="B14" t="inlineStr">
        <is>
          <t xml:space="preserve">　固定値は③パラメータでランクごとに決めます。0にすると伸びません。</t>
        </is>
      </c>
    </row>
    <row r="15">
      <c r="B15" t="inlineStr"/>
    </row>
    <row r="16">
      <c r="B16" s="2" t="inlineStr">
        <is>
          <t>■ シートの並び</t>
        </is>
      </c>
    </row>
    <row r="17">
      <c r="B17" t="inlineStr">
        <is>
          <t xml:space="preserve">　② 使い魔一覧　… 全50体の能力値（Lv1・Lv5・Lv10）とスキル</t>
        </is>
      </c>
    </row>
    <row r="18">
      <c r="B18" t="inlineStr">
        <is>
          <t xml:space="preserve">　③ パラメータ　… 使い魔の数、排出率、成長量、ガチャ費用、合成費用、売却額</t>
        </is>
      </c>
    </row>
    <row r="19">
      <c r="B19" t="inlineStr">
        <is>
          <t xml:space="preserve">　④ ガチャ試算　… 最大レベルにするまでに必要な単発回数とcoin</t>
        </is>
      </c>
    </row>
    <row r="20">
      <c r="B20" t="inlineStr">
        <is>
          <t xml:space="preserve">　⑤ 成長試算　　… ランクごとの平均能力値を Lv1〜Lv10 で並べたもの</t>
        </is>
      </c>
    </row>
    <row r="21">
      <c r="B21" t="inlineStr">
        <is>
          <t xml:space="preserve">　⑥ デッキ試算　… 合計COST20以内の編成と、Lv1・Lv5・Lv10のステータス</t>
        </is>
      </c>
    </row>
    <row r="22">
      <c r="B22" t="inlineStr">
        <is>
          <t xml:space="preserve">　⑦ AIプロンプト … 生成AIに戦闘シミュレーションを頼むための文章</t>
        </is>
      </c>
    </row>
    <row r="23">
      <c r="B23" t="inlineStr"/>
    </row>
    <row r="24">
      <c r="B24" s="2" t="inlineStr">
        <is>
          <t>■ 今回の前提</t>
        </is>
      </c>
    </row>
    <row r="25">
      <c r="B25" t="inlineStr">
        <is>
          <t xml:space="preserve">　・レベルは Lv1 が最初です。ガチャで出るのも Lv1 です</t>
        </is>
      </c>
    </row>
    <row r="26">
      <c r="B26" t="inlineStr">
        <is>
          <t xml:space="preserve">　・ガチャは単発だけで計算しています（10連・保証枠は考えていません）</t>
        </is>
      </c>
    </row>
    <row r="27">
      <c r="B27" t="inlineStr">
        <is>
          <t xml:space="preserve">　・プレイヤーの収入は考えていません。必要coinだけを出しています</t>
        </is>
      </c>
    </row>
    <row r="28">
      <c r="B28" t="inlineStr"/>
    </row>
    <row r="29">
      <c r="B29" s="2" t="inlineStr">
        <is>
          <t>■ 覚えておくと便利なこと</t>
        </is>
      </c>
    </row>
    <row r="30">
      <c r="B30" t="inlineStr">
        <is>
          <t xml:space="preserve">　・最大レベルにするには「同じ使い魔」が（最大レベル−1）×素材数＋1体 必要です</t>
        </is>
      </c>
    </row>
    <row r="31">
      <c r="B31" t="inlineStr">
        <is>
          <t xml:space="preserve">　・ATKは4〜12程度です。固定で+1すると1回で10〜25%増える計算になります</t>
        </is>
      </c>
    </row>
    <row r="32">
      <c r="B32" t="inlineStr">
        <is>
          <t xml:space="preserve">　・SはAよりATKもSPDも低めです。Sの強みはHPとスキルとCOSTです</t>
        </is>
      </c>
    </row>
    <row r="33">
      <c r="B33" t="inlineStr">
        <is>
          <t xml:space="preserve">　・スキルはATK・最大HPの割合で効くので、能力値を上げると威力も上がります</t>
        </is>
      </c>
    </row>
    <row r="34">
      <c r="B34" t="inlineStr"/>
    </row>
    <row r="35">
      <c r="B35" s="2" t="inlineStr">
        <is>
          <t>■ 決まったら</t>
        </is>
      </c>
    </row>
    <row r="36">
      <c r="B36" t="inlineStr">
        <is>
          <t xml:space="preserve">　数値が決まったら教えてください。data/master/*.json へ反映して</t>
        </is>
      </c>
    </row>
    <row r="37">
      <c r="B37" t="inlineStr">
        <is>
          <t xml:space="preserve">　Discordへ配信します。手で書き換える必要はありません。</t>
        </is>
      </c>
    </row>
    <row r="38">
      <c r="B38" t="inlineStr"/>
    </row>
    <row r="39">
      <c r="B39" s="3" t="inlineStr">
        <is>
          <t>※ このファイルは scripts/make_balance_sheet.py で作り直せます。</t>
        </is>
      </c>
    </row>
    <row r="40">
      <c r="B40" t="inlineStr">
        <is>
          <t xml:space="preserve">　 ②のLv1の初期値とスキルは data/master/ の最新の内容から作っています。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" customWidth="1" min="2" max="2"/>
    <col width="7" customWidth="1" min="3" max="3"/>
    <col width="7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4" customWidth="1" min="14" max="14"/>
    <col width="54" customWidth="1" min="15" max="15"/>
    <col width="10" customWidth="1" min="16" max="16"/>
    <col width="14" customWidth="1" min="17" max="17"/>
    <col width="54" customWidth="1" min="18" max="18"/>
    <col width="16" customWidth="1" min="19" max="19"/>
  </cols>
  <sheetData>
    <row r="1" ht="22" customHeight="1">
      <c r="A1" s="1" t="inlineStr">
        <is>
          <t xml:space="preserve">  ② 使い魔一覧　— 能力値とスキル</t>
        </is>
      </c>
    </row>
    <row r="2">
      <c r="A2" s="3" t="inlineStr">
        <is>
          <t xml:space="preserve">　　黄色のLv1列（E〜G）が入力です。Lv5・Lv10は「Lv1＋固定値×(レベル−1)」で計算します。SPDは成長しません。</t>
        </is>
      </c>
    </row>
    <row r="3">
      <c r="A3" s="4" t="inlineStr"/>
      <c r="B3" s="4" t="inlineStr"/>
      <c r="C3" s="4" t="inlineStr"/>
      <c r="D3" s="4" t="inlineStr"/>
      <c r="E3" s="4" t="inlineStr">
        <is>
          <t>Lv1（入力）</t>
        </is>
      </c>
      <c r="F3" s="4" t="inlineStr"/>
      <c r="G3" s="4" t="inlineStr"/>
      <c r="H3" s="4" t="inlineStr">
        <is>
          <t>Lv5</t>
        </is>
      </c>
      <c r="I3" s="4" t="inlineStr"/>
      <c r="J3" s="4" t="inlineStr"/>
      <c r="K3" s="4" t="inlineStr">
        <is>
          <t>Lv10</t>
        </is>
      </c>
      <c r="L3" s="4" t="inlineStr"/>
      <c r="M3" s="4" t="inlineStr"/>
      <c r="N3" s="4" t="inlineStr">
        <is>
          <t>ACTIVEスキル</t>
        </is>
      </c>
      <c r="O3" s="4" t="inlineStr"/>
      <c r="P3" s="4" t="inlineStr"/>
      <c r="Q3" s="4" t="inlineStr">
        <is>
          <t>PASSIVEスキル</t>
        </is>
      </c>
      <c r="R3" s="4" t="inlineStr"/>
      <c r="S3" s="4" t="inlineStr"/>
    </row>
    <row r="4">
      <c r="A4" s="4" t="inlineStr">
        <is>
          <t>名前</t>
        </is>
      </c>
      <c r="B4" s="4" t="inlineStr">
        <is>
          <t>ランク</t>
        </is>
      </c>
      <c r="C4" s="4" t="inlineStr">
        <is>
          <t>COST</t>
        </is>
      </c>
      <c r="D4" s="4" t="inlineStr">
        <is>
          <t>性別</t>
        </is>
      </c>
      <c r="E4" s="4" t="inlineStr">
        <is>
          <t>HP</t>
        </is>
      </c>
      <c r="F4" s="4" t="inlineStr">
        <is>
          <t>ATK</t>
        </is>
      </c>
      <c r="G4" s="4" t="inlineStr">
        <is>
          <t>SPD</t>
        </is>
      </c>
      <c r="H4" s="4" t="inlineStr">
        <is>
          <t>HP</t>
        </is>
      </c>
      <c r="I4" s="4" t="inlineStr">
        <is>
          <t>ATK</t>
        </is>
      </c>
      <c r="J4" s="4" t="inlineStr">
        <is>
          <t>SPD</t>
        </is>
      </c>
      <c r="K4" s="4" t="inlineStr">
        <is>
          <t>HP</t>
        </is>
      </c>
      <c r="L4" s="4" t="inlineStr">
        <is>
          <t>ATK</t>
        </is>
      </c>
      <c r="M4" s="4" t="inlineStr">
        <is>
          <t>SPD</t>
        </is>
      </c>
      <c r="N4" s="4" t="inlineStr">
        <is>
          <t>名前</t>
        </is>
      </c>
      <c r="O4" s="4" t="inlineStr">
        <is>
          <t>内容</t>
        </is>
      </c>
      <c r="P4" s="4" t="inlineStr">
        <is>
          <t>使用回数</t>
        </is>
      </c>
      <c r="Q4" s="4" t="inlineStr">
        <is>
          <t>名前</t>
        </is>
      </c>
      <c r="R4" s="4" t="inlineStr">
        <is>
          <t>内容</t>
        </is>
      </c>
      <c r="S4" s="4" t="inlineStr">
        <is>
          <t>発動タイミング</t>
        </is>
      </c>
    </row>
    <row r="5">
      <c r="A5" s="5" t="inlineStr">
        <is>
          <t>フェンリル</t>
        </is>
      </c>
      <c r="B5" s="5" t="inlineStr">
        <is>
          <t>S</t>
        </is>
      </c>
      <c r="C5" s="5" t="n">
        <v>5</v>
      </c>
      <c r="D5" s="5" t="inlineStr">
        <is>
          <t>男性</t>
        </is>
      </c>
      <c r="E5" s="6" t="n">
        <v>36</v>
      </c>
      <c r="F5" s="6" t="n">
        <v>12</v>
      </c>
      <c r="G5" s="6" t="n">
        <v>96</v>
      </c>
      <c r="H5" s="7">
        <f>E5+'③ パラメータ'!B28*(5-1)</f>
        <v/>
      </c>
      <c r="I5" s="7">
        <f>F5+'③ パラメータ'!C28*(5-1)</f>
        <v/>
      </c>
      <c r="J5" s="7">
        <f>G5</f>
        <v/>
      </c>
      <c r="K5" s="7">
        <f>E5+'③ パラメータ'!B28*('③ パラメータ'!B32-1)</f>
        <v/>
      </c>
      <c r="L5" s="7">
        <f>F5+'③ パラメータ'!C28*('③ パラメータ'!B32-1)</f>
        <v/>
      </c>
      <c r="M5" s="7">
        <f>G5</f>
        <v/>
      </c>
      <c r="N5" s="5" t="inlineStr">
        <is>
          <t>神喰らい</t>
        </is>
      </c>
      <c r="O5" s="8" t="inlineStr">
        <is>
          <t>敵1体をACTIVE使用不能（1ターン）にする。</t>
        </is>
      </c>
      <c r="P5" s="5" t="inlineStr">
        <is>
          <t>1バトル1回</t>
        </is>
      </c>
      <c r="Q5" s="5" t="inlineStr">
        <is>
          <t>先駆の魔狼</t>
        </is>
      </c>
      <c r="R5" s="8" t="inlineStr">
        <is>
          <t>各ラウンドで初めて、まだ行動していない敵を攻撃する時、その攻撃のみATK+50%。</t>
        </is>
      </c>
      <c r="S5" s="5" t="inlineStr">
        <is>
          <t>before_attack</t>
        </is>
      </c>
    </row>
    <row r="6">
      <c r="A6" s="5" t="inlineStr">
        <is>
          <t>スルト</t>
        </is>
      </c>
      <c r="B6" s="5" t="inlineStr">
        <is>
          <t>S</t>
        </is>
      </c>
      <c r="C6" s="5" t="n">
        <v>5</v>
      </c>
      <c r="D6" s="5" t="inlineStr">
        <is>
          <t>男性</t>
        </is>
      </c>
      <c r="E6" s="6" t="n">
        <v>44</v>
      </c>
      <c r="F6" s="6" t="n">
        <v>11</v>
      </c>
      <c r="G6" s="6" t="n">
        <v>19</v>
      </c>
      <c r="H6" s="7">
        <f>E6+'③ パラメータ'!B28*(5-1)</f>
        <v/>
      </c>
      <c r="I6" s="7">
        <f>F6+'③ パラメータ'!C28*(5-1)</f>
        <v/>
      </c>
      <c r="J6" s="7">
        <f>G6</f>
        <v/>
      </c>
      <c r="K6" s="7">
        <f>E6+'③ パラメータ'!B28*('③ パラメータ'!B32-1)</f>
        <v/>
      </c>
      <c r="L6" s="7">
        <f>F6+'③ パラメータ'!C28*('③ パラメータ'!B32-1)</f>
        <v/>
      </c>
      <c r="M6" s="7">
        <f>G6</f>
        <v/>
      </c>
      <c r="N6" s="5" t="inlineStr">
        <is>
          <t>終末の進軍</t>
        </is>
      </c>
      <c r="O6" s="8" t="inlineStr">
        <is>
          <t>このACTIVEによる2回の攻撃時、自身のATK+30%。敵へ2回攻撃する。各攻撃の対象は個別に選択できる。このターンの攻撃を消費する。</t>
        </is>
      </c>
      <c r="P6" s="5" t="inlineStr">
        <is>
          <t>1バトル1回</t>
        </is>
      </c>
      <c r="Q6" s="5" t="inlineStr">
        <is>
          <t>終末の巨人</t>
        </is>
      </c>
      <c r="R6" s="8" t="inlineStr">
        <is>
          <t>受ける攻撃ダメージを自身の最大HP5%分だけ軽減する。さらに、スルト以外の味方が戦闘不能になるたび、自身のATK+20%。</t>
        </is>
      </c>
      <c r="S6" s="5" t="inlineStr">
        <is>
          <t>バトル開始時</t>
        </is>
      </c>
    </row>
    <row r="7">
      <c r="A7" s="5" t="inlineStr">
        <is>
          <t>ロキ</t>
        </is>
      </c>
      <c r="B7" s="5" t="inlineStr">
        <is>
          <t>S</t>
        </is>
      </c>
      <c r="C7" s="5" t="n">
        <v>5</v>
      </c>
      <c r="D7" s="5" t="inlineStr">
        <is>
          <t>男性</t>
        </is>
      </c>
      <c r="E7" s="6" t="n">
        <v>48</v>
      </c>
      <c r="F7" s="6" t="n">
        <v>8</v>
      </c>
      <c r="G7" s="6" t="n">
        <v>85</v>
      </c>
      <c r="H7" s="7">
        <f>E7+'③ パラメータ'!B28*(5-1)</f>
        <v/>
      </c>
      <c r="I7" s="7">
        <f>F7+'③ パラメータ'!C28*(5-1)</f>
        <v/>
      </c>
      <c r="J7" s="7">
        <f>G7</f>
        <v/>
      </c>
      <c r="K7" s="7">
        <f>E7+'③ パラメータ'!B28*('③ パラメータ'!B32-1)</f>
        <v/>
      </c>
      <c r="L7" s="7">
        <f>F7+'③ パラメータ'!C28*('③ パラメータ'!B32-1)</f>
        <v/>
      </c>
      <c r="M7" s="7">
        <f>G7</f>
        <v/>
      </c>
      <c r="N7" s="5" t="inlineStr">
        <is>
          <t>虚実反転</t>
        </is>
      </c>
      <c r="O7" s="8" t="inlineStr">
        <is>
          <t>生存している敵1体と味方1体を選択し、両者の現在ATKをラウンド終了まで交換する。</t>
        </is>
      </c>
      <c r="P7" s="5" t="inlineStr">
        <is>
          <t>制限なし</t>
        </is>
      </c>
      <c r="Q7" s="5" t="inlineStr">
        <is>
          <t>欺瞞の神</t>
        </is>
      </c>
      <c r="R7" s="8" t="inlineStr">
        <is>
          <t>ロキが状態異常を受ける時、その状態異常を無効化し、効果を与えた敵へ同じ状態異常を返す。</t>
        </is>
      </c>
      <c r="S7" s="5" t="inlineStr">
        <is>
          <t>状態異常を受ける直前</t>
        </is>
      </c>
    </row>
    <row r="8">
      <c r="A8" s="5" t="inlineStr">
        <is>
          <t>ヨルムンガンド</t>
        </is>
      </c>
      <c r="B8" s="5" t="inlineStr">
        <is>
          <t>S</t>
        </is>
      </c>
      <c r="C8" s="5" t="n">
        <v>5</v>
      </c>
      <c r="D8" s="5" t="inlineStr">
        <is>
          <t>男性</t>
        </is>
      </c>
      <c r="E8" s="6" t="n">
        <v>55</v>
      </c>
      <c r="F8" s="6" t="n">
        <v>7</v>
      </c>
      <c r="G8" s="6" t="n">
        <v>56</v>
      </c>
      <c r="H8" s="7">
        <f>E8+'③ パラメータ'!B28*(5-1)</f>
        <v/>
      </c>
      <c r="I8" s="7">
        <f>F8+'③ パラメータ'!C28*(5-1)</f>
        <v/>
      </c>
      <c r="J8" s="7">
        <f>G8</f>
        <v/>
      </c>
      <c r="K8" s="7">
        <f>E8+'③ パラメータ'!B28*('③ パラメータ'!B32-1)</f>
        <v/>
      </c>
      <c r="L8" s="7">
        <f>F8+'③ パラメータ'!C28*('③ パラメータ'!B32-1)</f>
        <v/>
      </c>
      <c r="M8" s="7">
        <f>G8</f>
        <v/>
      </c>
      <c r="N8" s="5" t="inlineStr">
        <is>
          <t>世界毒</t>
        </is>
      </c>
      <c r="O8" s="8" t="inlineStr">
        <is>
          <t>生存している敵全体へ、自身のATK60%のスキルダメージ + 毒（自身のATK30%×2ターン）。このターンの攻撃を消費する。</t>
        </is>
      </c>
      <c r="P8" s="5" t="inlineStr">
        <is>
          <t>1バトル1回</t>
        </is>
      </c>
      <c r="Q8" s="5" t="inlineStr">
        <is>
          <t>世界を囲む蛇</t>
        </is>
      </c>
      <c r="R8" s="8" t="inlineStr">
        <is>
          <t>バトル開始時、敵全体のATK-15%。</t>
        </is>
      </c>
      <c r="S8" s="5" t="inlineStr">
        <is>
          <t>バトル開始時</t>
        </is>
      </c>
    </row>
    <row r="9">
      <c r="A9" s="5" t="inlineStr">
        <is>
          <t>ヘル</t>
        </is>
      </c>
      <c r="B9" s="5" t="inlineStr">
        <is>
          <t>S</t>
        </is>
      </c>
      <c r="C9" s="5" t="n">
        <v>5</v>
      </c>
      <c r="D9" s="5" t="inlineStr">
        <is>
          <t>女性</t>
        </is>
      </c>
      <c r="E9" s="6" t="n">
        <v>61</v>
      </c>
      <c r="F9" s="6" t="n">
        <v>6</v>
      </c>
      <c r="G9" s="6" t="n">
        <v>6</v>
      </c>
      <c r="H9" s="7">
        <f>E9+'③ パラメータ'!B28*(5-1)</f>
        <v/>
      </c>
      <c r="I9" s="7">
        <f>F9+'③ パラメータ'!C28*(5-1)</f>
        <v/>
      </c>
      <c r="J9" s="7">
        <f>G9</f>
        <v/>
      </c>
      <c r="K9" s="7">
        <f>E9+'③ パラメータ'!B28*('③ パラメータ'!B32-1)</f>
        <v/>
      </c>
      <c r="L9" s="7">
        <f>F9+'③ パラメータ'!C28*('③ パラメータ'!B32-1)</f>
        <v/>
      </c>
      <c r="M9" s="7">
        <f>G9</f>
        <v/>
      </c>
      <c r="N9" s="5" t="inlineStr">
        <is>
          <t>死の宣告</t>
        </is>
      </c>
      <c r="O9" s="8" t="inlineStr">
        <is>
          <t>敵1体を即座に戦闘不能にする。このターンの攻撃を消費する。</t>
        </is>
      </c>
      <c r="P9" s="5" t="inlineStr">
        <is>
          <t>1バトル1回</t>
        </is>
      </c>
      <c r="Q9" s="5" t="inlineStr">
        <is>
          <t>冥府の呼び声</t>
        </is>
      </c>
      <c r="R9" s="8" t="inlineStr">
        <is>
          <t>味方がバトル中初めて戦闘不能になった時、その使い魔を最大HP30%で蘇生する。</t>
        </is>
      </c>
      <c r="S9" s="5" t="inlineStr">
        <is>
          <t>誰かが倒れた時</t>
        </is>
      </c>
    </row>
    <row r="10">
      <c r="A10" s="5" t="inlineStr">
        <is>
          <t>アスモデウス</t>
        </is>
      </c>
      <c r="B10" s="5" t="inlineStr">
        <is>
          <t>A</t>
        </is>
      </c>
      <c r="C10" s="5" t="n">
        <v>4</v>
      </c>
      <c r="D10" s="5" t="inlineStr">
        <is>
          <t>男性</t>
        </is>
      </c>
      <c r="E10" s="6" t="n">
        <v>32</v>
      </c>
      <c r="F10" s="6" t="n">
        <v>11</v>
      </c>
      <c r="G10" s="6" t="n">
        <v>83</v>
      </c>
      <c r="H10" s="7">
        <f>E10+'③ パラメータ'!B27*(5-1)</f>
        <v/>
      </c>
      <c r="I10" s="7">
        <f>F10+'③ パラメータ'!C27*(5-1)</f>
        <v/>
      </c>
      <c r="J10" s="7">
        <f>G10</f>
        <v/>
      </c>
      <c r="K10" s="7">
        <f>E10+'③ パラメータ'!B27*('③ パラメータ'!B32-1)</f>
        <v/>
      </c>
      <c r="L10" s="7">
        <f>F10+'③ パラメータ'!C27*('③ パラメータ'!B32-1)</f>
        <v/>
      </c>
      <c r="M10" s="7">
        <f>G10</f>
        <v/>
      </c>
      <c r="N10" s="5" t="inlineStr">
        <is>
          <t>—</t>
        </is>
      </c>
      <c r="O10" s="5" t="inlineStr">
        <is>
          <t>—</t>
        </is>
      </c>
      <c r="P10" s="5" t="inlineStr">
        <is>
          <t>—</t>
        </is>
      </c>
      <c r="Q10" s="5" t="inlineStr">
        <is>
          <t>色欲の権能</t>
        </is>
      </c>
      <c r="R10" s="8" t="inlineStr">
        <is>
          <t>バトル開始時、味方全員のATK+15%。</t>
        </is>
      </c>
      <c r="S10" s="5" t="inlineStr">
        <is>
          <t>バトル開始時</t>
        </is>
      </c>
    </row>
    <row r="11">
      <c r="A11" s="5" t="inlineStr">
        <is>
          <t>マモン</t>
        </is>
      </c>
      <c r="B11" s="5" t="inlineStr">
        <is>
          <t>A</t>
        </is>
      </c>
      <c r="C11" s="5" t="n">
        <v>4</v>
      </c>
      <c r="D11" s="5" t="inlineStr">
        <is>
          <t>男性</t>
        </is>
      </c>
      <c r="E11" s="6" t="n">
        <v>33</v>
      </c>
      <c r="F11" s="6" t="n">
        <v>11</v>
      </c>
      <c r="G11" s="6" t="n">
        <v>69</v>
      </c>
      <c r="H11" s="7">
        <f>E11+'③ パラメータ'!B27*(5-1)</f>
        <v/>
      </c>
      <c r="I11" s="7">
        <f>F11+'③ パラメータ'!C27*(5-1)</f>
        <v/>
      </c>
      <c r="J11" s="7">
        <f>G11</f>
        <v/>
      </c>
      <c r="K11" s="7">
        <f>E11+'③ パラメータ'!B27*('③ パラメータ'!B32-1)</f>
        <v/>
      </c>
      <c r="L11" s="7">
        <f>F11+'③ パラメータ'!C27*('③ パラメータ'!B32-1)</f>
        <v/>
      </c>
      <c r="M11" s="7">
        <f>G11</f>
        <v/>
      </c>
      <c r="N11" s="5" t="inlineStr">
        <is>
          <t>強欲</t>
        </is>
      </c>
      <c r="O11" s="8" t="inlineStr">
        <is>
          <t>敵1体のATK-25%。さらに自身のATK+20%。両方ともラウンド終了まで継続する。</t>
        </is>
      </c>
      <c r="P11" s="5" t="inlineStr">
        <is>
          <t>制限なし</t>
        </is>
      </c>
      <c r="Q11" s="5" t="inlineStr">
        <is>
          <t>—</t>
        </is>
      </c>
      <c r="R11" s="5" t="inlineStr">
        <is>
          <t>—</t>
        </is>
      </c>
      <c r="S11" s="5" t="inlineStr">
        <is>
          <t>—</t>
        </is>
      </c>
    </row>
    <row r="12">
      <c r="A12" s="5" t="inlineStr">
        <is>
          <t>アバドン</t>
        </is>
      </c>
      <c r="B12" s="5" t="inlineStr">
        <is>
          <t>A</t>
        </is>
      </c>
      <c r="C12" s="5" t="n">
        <v>4</v>
      </c>
      <c r="D12" s="5" t="inlineStr">
        <is>
          <t>男性</t>
        </is>
      </c>
      <c r="E12" s="6" t="n">
        <v>34</v>
      </c>
      <c r="F12" s="6" t="n">
        <v>11</v>
      </c>
      <c r="G12" s="6" t="n">
        <v>53</v>
      </c>
      <c r="H12" s="7">
        <f>E12+'③ パラメータ'!B27*(5-1)</f>
        <v/>
      </c>
      <c r="I12" s="7">
        <f>F12+'③ パラメータ'!C27*(5-1)</f>
        <v/>
      </c>
      <c r="J12" s="7">
        <f>G12</f>
        <v/>
      </c>
      <c r="K12" s="7">
        <f>E12+'③ パラメータ'!B27*('③ パラメータ'!B32-1)</f>
        <v/>
      </c>
      <c r="L12" s="7">
        <f>F12+'③ パラメータ'!C27*('③ パラメータ'!B32-1)</f>
        <v/>
      </c>
      <c r="M12" s="7">
        <f>G12</f>
        <v/>
      </c>
      <c r="N12" s="5" t="inlineStr">
        <is>
          <t>奈落崩壊</t>
        </is>
      </c>
      <c r="O12" s="8" t="inlineStr">
        <is>
          <t>生存している敵全体へ、自身のATK45%のスキルダメージ。このターンの攻撃を消費する。</t>
        </is>
      </c>
      <c r="P12" s="5" t="inlineStr">
        <is>
          <t>制限なし</t>
        </is>
      </c>
      <c r="Q12" s="5" t="inlineStr">
        <is>
          <t>—</t>
        </is>
      </c>
      <c r="R12" s="5" t="inlineStr">
        <is>
          <t>—</t>
        </is>
      </c>
      <c r="S12" s="5" t="inlineStr">
        <is>
          <t>—</t>
        </is>
      </c>
    </row>
    <row r="13">
      <c r="A13" s="5" t="inlineStr">
        <is>
          <t>サタン</t>
        </is>
      </c>
      <c r="B13" s="5" t="inlineStr">
        <is>
          <t>A</t>
        </is>
      </c>
      <c r="C13" s="5" t="n">
        <v>4</v>
      </c>
      <c r="D13" s="5" t="inlineStr">
        <is>
          <t>男性</t>
        </is>
      </c>
      <c r="E13" s="6" t="n">
        <v>38</v>
      </c>
      <c r="F13" s="6" t="n">
        <v>9</v>
      </c>
      <c r="G13" s="6" t="n">
        <v>47</v>
      </c>
      <c r="H13" s="7">
        <f>E13+'③ パラメータ'!B27*(5-1)</f>
        <v/>
      </c>
      <c r="I13" s="7">
        <f>F13+'③ パラメータ'!C27*(5-1)</f>
        <v/>
      </c>
      <c r="J13" s="7">
        <f>G13</f>
        <v/>
      </c>
      <c r="K13" s="7">
        <f>E13+'③ パラメータ'!B27*('③ パラメータ'!B32-1)</f>
        <v/>
      </c>
      <c r="L13" s="7">
        <f>F13+'③ パラメータ'!C27*('③ パラメータ'!B32-1)</f>
        <v/>
      </c>
      <c r="M13" s="7">
        <f>G13</f>
        <v/>
      </c>
      <c r="N13" s="5" t="inlineStr">
        <is>
          <t>憤怒の解放</t>
        </is>
      </c>
      <c r="O13" s="8" t="inlineStr">
        <is>
          <t>味方全員に付与されているデバフをすべて解除する。状態異常は解除しない。</t>
        </is>
      </c>
      <c r="P13" s="5" t="inlineStr">
        <is>
          <t>1バトル1回</t>
        </is>
      </c>
      <c r="Q13" s="5" t="inlineStr">
        <is>
          <t>—</t>
        </is>
      </c>
      <c r="R13" s="5" t="inlineStr">
        <is>
          <t>—</t>
        </is>
      </c>
      <c r="S13" s="5" t="inlineStr">
        <is>
          <t>—</t>
        </is>
      </c>
    </row>
    <row r="14">
      <c r="A14" s="5" t="inlineStr">
        <is>
          <t>ニーズヘッグ</t>
        </is>
      </c>
      <c r="B14" s="5" t="inlineStr">
        <is>
          <t>A</t>
        </is>
      </c>
      <c r="C14" s="5" t="n">
        <v>4</v>
      </c>
      <c r="D14" s="5" t="inlineStr">
        <is>
          <t>男性</t>
        </is>
      </c>
      <c r="E14" s="6" t="n">
        <v>38</v>
      </c>
      <c r="F14" s="6" t="n">
        <v>9</v>
      </c>
      <c r="G14" s="6" t="n">
        <v>51</v>
      </c>
      <c r="H14" s="7">
        <f>E14+'③ パラメータ'!B27*(5-1)</f>
        <v/>
      </c>
      <c r="I14" s="7">
        <f>F14+'③ パラメータ'!C27*(5-1)</f>
        <v/>
      </c>
      <c r="J14" s="7">
        <f>G14</f>
        <v/>
      </c>
      <c r="K14" s="7">
        <f>E14+'③ パラメータ'!B27*('③ パラメータ'!B32-1)</f>
        <v/>
      </c>
      <c r="L14" s="7">
        <f>F14+'③ パラメータ'!C27*('③ パラメータ'!B32-1)</f>
        <v/>
      </c>
      <c r="M14" s="7">
        <f>G14</f>
        <v/>
      </c>
      <c r="N14" s="5" t="inlineStr">
        <is>
          <t>—</t>
        </is>
      </c>
      <c r="O14" s="5" t="inlineStr">
        <is>
          <t>—</t>
        </is>
      </c>
      <c r="P14" s="5" t="inlineStr">
        <is>
          <t>—</t>
        </is>
      </c>
      <c r="Q14" s="5" t="inlineStr">
        <is>
          <t>根喰らい</t>
        </is>
      </c>
      <c r="R14" s="8" t="inlineStr">
        <is>
          <t>攻撃ダメージを与えた敵に回復阻害デバフ（2ターン）を付与する。対象はHPを回復できず、蘇生もできない。</t>
        </is>
      </c>
      <c r="S14" s="5" t="inlineStr">
        <is>
          <t>after_attack</t>
        </is>
      </c>
    </row>
    <row r="15">
      <c r="A15" s="5" t="inlineStr">
        <is>
          <t>ベリアル</t>
        </is>
      </c>
      <c r="B15" s="5" t="inlineStr">
        <is>
          <t>A</t>
        </is>
      </c>
      <c r="C15" s="5" t="n">
        <v>4</v>
      </c>
      <c r="D15" s="5" t="inlineStr">
        <is>
          <t>男性</t>
        </is>
      </c>
      <c r="E15" s="6" t="n">
        <v>36</v>
      </c>
      <c r="F15" s="6" t="n">
        <v>9</v>
      </c>
      <c r="G15" s="6" t="n">
        <v>93</v>
      </c>
      <c r="H15" s="7">
        <f>E15+'③ パラメータ'!B27*(5-1)</f>
        <v/>
      </c>
      <c r="I15" s="7">
        <f>F15+'③ パラメータ'!C27*(5-1)</f>
        <v/>
      </c>
      <c r="J15" s="7">
        <f>G15</f>
        <v/>
      </c>
      <c r="K15" s="7">
        <f>E15+'③ パラメータ'!B27*('③ パラメータ'!B32-1)</f>
        <v/>
      </c>
      <c r="L15" s="7">
        <f>F15+'③ パラメータ'!C27*('③ パラメータ'!B32-1)</f>
        <v/>
      </c>
      <c r="M15" s="7">
        <f>G15</f>
        <v/>
      </c>
      <c r="N15" s="5" t="inlineStr">
        <is>
          <t>—</t>
        </is>
      </c>
      <c r="O15" s="5" t="inlineStr">
        <is>
          <t>—</t>
        </is>
      </c>
      <c r="P15" s="5" t="inlineStr">
        <is>
          <t>—</t>
        </is>
      </c>
      <c r="Q15" s="5" t="inlineStr">
        <is>
          <t>魔王の先見</t>
        </is>
      </c>
      <c r="R15" s="8" t="inlineStr">
        <is>
          <t>味方がバトル中初めて行動不能になる時、その行動不能を無効化する。</t>
        </is>
      </c>
      <c r="S15" s="5" t="inlineStr">
        <is>
          <t>状態異常を受ける直前</t>
        </is>
      </c>
    </row>
    <row r="16">
      <c r="A16" s="5" t="inlineStr">
        <is>
          <t>キュウビ</t>
        </is>
      </c>
      <c r="B16" s="5" t="inlineStr">
        <is>
          <t>A</t>
        </is>
      </c>
      <c r="C16" s="5" t="n">
        <v>4</v>
      </c>
      <c r="D16" s="5" t="inlineStr">
        <is>
          <t>女性</t>
        </is>
      </c>
      <c r="E16" s="6" t="n">
        <v>36</v>
      </c>
      <c r="F16" s="6" t="n">
        <v>9</v>
      </c>
      <c r="G16" s="6" t="n">
        <v>98</v>
      </c>
      <c r="H16" s="7">
        <f>E16+'③ パラメータ'!B27*(5-1)</f>
        <v/>
      </c>
      <c r="I16" s="7">
        <f>F16+'③ パラメータ'!C27*(5-1)</f>
        <v/>
      </c>
      <c r="J16" s="7">
        <f>G16</f>
        <v/>
      </c>
      <c r="K16" s="7">
        <f>E16+'③ パラメータ'!B27*('③ パラメータ'!B32-1)</f>
        <v/>
      </c>
      <c r="L16" s="7">
        <f>F16+'③ パラメータ'!C27*('③ パラメータ'!B32-1)</f>
        <v/>
      </c>
      <c r="M16" s="7">
        <f>G16</f>
        <v/>
      </c>
      <c r="N16" s="5" t="inlineStr">
        <is>
          <t>妖狐幻術</t>
        </is>
      </c>
      <c r="O16" s="8" t="inlineStr">
        <is>
          <t>敵1体のSPD-20%（2ターン）。</t>
        </is>
      </c>
      <c r="P16" s="5" t="inlineStr">
        <is>
          <t>制限なし</t>
        </is>
      </c>
      <c r="Q16" s="5" t="inlineStr">
        <is>
          <t>—</t>
        </is>
      </c>
      <c r="R16" s="5" t="inlineStr">
        <is>
          <t>—</t>
        </is>
      </c>
      <c r="S16" s="5" t="inlineStr">
        <is>
          <t>—</t>
        </is>
      </c>
    </row>
    <row r="17">
      <c r="A17" s="5" t="inlineStr">
        <is>
          <t>リリス</t>
        </is>
      </c>
      <c r="B17" s="5" t="inlineStr">
        <is>
          <t>A</t>
        </is>
      </c>
      <c r="C17" s="5" t="n">
        <v>4</v>
      </c>
      <c r="D17" s="5" t="inlineStr">
        <is>
          <t>女性</t>
        </is>
      </c>
      <c r="E17" s="6" t="n">
        <v>37</v>
      </c>
      <c r="F17" s="6" t="n">
        <v>9</v>
      </c>
      <c r="G17" s="6" t="n">
        <v>75</v>
      </c>
      <c r="H17" s="7">
        <f>E17+'③ パラメータ'!B27*(5-1)</f>
        <v/>
      </c>
      <c r="I17" s="7">
        <f>F17+'③ パラメータ'!C27*(5-1)</f>
        <v/>
      </c>
      <c r="J17" s="7">
        <f>G17</f>
        <v/>
      </c>
      <c r="K17" s="7">
        <f>E17+'③ パラメータ'!B27*('③ パラメータ'!B32-1)</f>
        <v/>
      </c>
      <c r="L17" s="7">
        <f>F17+'③ パラメータ'!C27*('③ パラメータ'!B32-1)</f>
        <v/>
      </c>
      <c r="M17" s="7">
        <f>G17</f>
        <v/>
      </c>
      <c r="N17" s="5" t="inlineStr">
        <is>
          <t>—</t>
        </is>
      </c>
      <c r="O17" s="5" t="inlineStr">
        <is>
          <t>—</t>
        </is>
      </c>
      <c r="P17" s="5" t="inlineStr">
        <is>
          <t>—</t>
        </is>
      </c>
      <c r="Q17" s="5" t="inlineStr">
        <is>
          <t>夜の誘惑</t>
        </is>
      </c>
      <c r="R17" s="8" t="inlineStr">
        <is>
          <t>バトル開始時、男性の敵全体のATK-25%。</t>
        </is>
      </c>
      <c r="S17" s="5" t="inlineStr">
        <is>
          <t>バトル開始時</t>
        </is>
      </c>
    </row>
    <row r="18">
      <c r="A18" s="5" t="inlineStr">
        <is>
          <t>フェニックス</t>
        </is>
      </c>
      <c r="B18" s="5" t="inlineStr">
        <is>
          <t>A</t>
        </is>
      </c>
      <c r="C18" s="5" t="n">
        <v>4</v>
      </c>
      <c r="D18" s="5" t="inlineStr">
        <is>
          <t>なし</t>
        </is>
      </c>
      <c r="E18" s="6" t="n">
        <v>37</v>
      </c>
      <c r="F18" s="6" t="n">
        <v>9</v>
      </c>
      <c r="G18" s="6" t="n">
        <v>65</v>
      </c>
      <c r="H18" s="7">
        <f>E18+'③ パラメータ'!B27*(5-1)</f>
        <v/>
      </c>
      <c r="I18" s="7">
        <f>F18+'③ パラメータ'!C27*(5-1)</f>
        <v/>
      </c>
      <c r="J18" s="7">
        <f>G18</f>
        <v/>
      </c>
      <c r="K18" s="7">
        <f>E18+'③ パラメータ'!B27*('③ パラメータ'!B32-1)</f>
        <v/>
      </c>
      <c r="L18" s="7">
        <f>F18+'③ パラメータ'!C27*('③ パラメータ'!B32-1)</f>
        <v/>
      </c>
      <c r="M18" s="7">
        <f>G18</f>
        <v/>
      </c>
      <c r="N18" s="5" t="inlineStr">
        <is>
          <t>再誕の炎</t>
        </is>
      </c>
      <c r="O18" s="8" t="inlineStr">
        <is>
          <t>戦闘不能の味方1体を最大HP50%で蘇生する。このターンの攻撃を消費する。</t>
        </is>
      </c>
      <c r="P18" s="5" t="inlineStr">
        <is>
          <t>1バトル1回</t>
        </is>
      </c>
      <c r="Q18" s="5" t="inlineStr">
        <is>
          <t>—</t>
        </is>
      </c>
      <c r="R18" s="5" t="inlineStr">
        <is>
          <t>—</t>
        </is>
      </c>
      <c r="S18" s="5" t="inlineStr">
        <is>
          <t>—</t>
        </is>
      </c>
    </row>
    <row r="19">
      <c r="A19" s="5" t="inlineStr">
        <is>
          <t>ルシファー</t>
        </is>
      </c>
      <c r="B19" s="5" t="inlineStr">
        <is>
          <t>A</t>
        </is>
      </c>
      <c r="C19" s="5" t="n">
        <v>4</v>
      </c>
      <c r="D19" s="5" t="inlineStr">
        <is>
          <t>男性</t>
        </is>
      </c>
      <c r="E19" s="6" t="n">
        <v>40</v>
      </c>
      <c r="F19" s="6" t="n">
        <v>8</v>
      </c>
      <c r="G19" s="6" t="n">
        <v>91</v>
      </c>
      <c r="H19" s="7">
        <f>E19+'③ パラメータ'!B27*(5-1)</f>
        <v/>
      </c>
      <c r="I19" s="7">
        <f>F19+'③ パラメータ'!C27*(5-1)</f>
        <v/>
      </c>
      <c r="J19" s="7">
        <f>G19</f>
        <v/>
      </c>
      <c r="K19" s="7">
        <f>E19+'③ パラメータ'!B27*('③ パラメータ'!B32-1)</f>
        <v/>
      </c>
      <c r="L19" s="7">
        <f>F19+'③ パラメータ'!C27*('③ パラメータ'!B32-1)</f>
        <v/>
      </c>
      <c r="M19" s="7">
        <f>G19</f>
        <v/>
      </c>
      <c r="N19" s="5" t="inlineStr">
        <is>
          <t>明星の加護</t>
        </is>
      </c>
      <c r="O19" s="8" t="inlineStr">
        <is>
          <t>味方1体は状態異常を受けない（2ターン）。すでに受けている状態異常は解除しない。</t>
        </is>
      </c>
      <c r="P19" s="5" t="inlineStr">
        <is>
          <t>1バトル1回</t>
        </is>
      </c>
      <c r="Q19" s="5" t="inlineStr">
        <is>
          <t>—</t>
        </is>
      </c>
      <c r="R19" s="5" t="inlineStr">
        <is>
          <t>—</t>
        </is>
      </c>
      <c r="S19" s="5" t="inlineStr">
        <is>
          <t>—</t>
        </is>
      </c>
    </row>
    <row r="20">
      <c r="A20" s="5" t="inlineStr">
        <is>
          <t>ベルゼブブ</t>
        </is>
      </c>
      <c r="B20" s="5" t="inlineStr">
        <is>
          <t>A</t>
        </is>
      </c>
      <c r="C20" s="5" t="n">
        <v>4</v>
      </c>
      <c r="D20" s="5" t="inlineStr">
        <is>
          <t>男性</t>
        </is>
      </c>
      <c r="E20" s="6" t="n">
        <v>42</v>
      </c>
      <c r="F20" s="6" t="n">
        <v>8</v>
      </c>
      <c r="G20" s="6" t="n">
        <v>59</v>
      </c>
      <c r="H20" s="7">
        <f>E20+'③ パラメータ'!B27*(5-1)</f>
        <v/>
      </c>
      <c r="I20" s="7">
        <f>F20+'③ パラメータ'!C27*(5-1)</f>
        <v/>
      </c>
      <c r="J20" s="7">
        <f>G20</f>
        <v/>
      </c>
      <c r="K20" s="7">
        <f>E20+'③ パラメータ'!B27*('③ パラメータ'!B32-1)</f>
        <v/>
      </c>
      <c r="L20" s="7">
        <f>F20+'③ パラメータ'!C27*('③ パラメータ'!B32-1)</f>
        <v/>
      </c>
      <c r="M20" s="7">
        <f>G20</f>
        <v/>
      </c>
      <c r="N20" s="5" t="inlineStr">
        <is>
          <t>—</t>
        </is>
      </c>
      <c r="O20" s="5" t="inlineStr">
        <is>
          <t>—</t>
        </is>
      </c>
      <c r="P20" s="5" t="inlineStr">
        <is>
          <t>—</t>
        </is>
      </c>
      <c r="Q20" s="5" t="inlineStr">
        <is>
          <t>蠅王の瘴気</t>
        </is>
      </c>
      <c r="R20" s="8" t="inlineStr">
        <is>
          <t>バトル開始時、敵全体に毒（自身のATK40%×2ターン）を付与する。</t>
        </is>
      </c>
      <c r="S20" s="5" t="inlineStr">
        <is>
          <t>バトル開始時</t>
        </is>
      </c>
    </row>
    <row r="21">
      <c r="A21" s="5" t="inlineStr">
        <is>
          <t>ベルフェゴール</t>
        </is>
      </c>
      <c r="B21" s="5" t="inlineStr">
        <is>
          <t>A</t>
        </is>
      </c>
      <c r="C21" s="5" t="n">
        <v>4</v>
      </c>
      <c r="D21" s="5" t="inlineStr">
        <is>
          <t>男性</t>
        </is>
      </c>
      <c r="E21" s="6" t="n">
        <v>43</v>
      </c>
      <c r="F21" s="6" t="n">
        <v>8</v>
      </c>
      <c r="G21" s="6" t="n">
        <v>25</v>
      </c>
      <c r="H21" s="7">
        <f>E21+'③ パラメータ'!B27*(5-1)</f>
        <v/>
      </c>
      <c r="I21" s="7">
        <f>F21+'③ パラメータ'!C27*(5-1)</f>
        <v/>
      </c>
      <c r="J21" s="7">
        <f>G21</f>
        <v/>
      </c>
      <c r="K21" s="7">
        <f>E21+'③ パラメータ'!B27*('③ パラメータ'!B32-1)</f>
        <v/>
      </c>
      <c r="L21" s="7">
        <f>F21+'③ パラメータ'!C27*('③ パラメータ'!B32-1)</f>
        <v/>
      </c>
      <c r="M21" s="7">
        <f>G21</f>
        <v/>
      </c>
      <c r="N21" s="5" t="inlineStr">
        <is>
          <t>—</t>
        </is>
      </c>
      <c r="O21" s="5" t="inlineStr">
        <is>
          <t>—</t>
        </is>
      </c>
      <c r="P21" s="5" t="inlineStr">
        <is>
          <t>—</t>
        </is>
      </c>
      <c r="Q21" s="5" t="inlineStr">
        <is>
          <t>怠惰の権能</t>
        </is>
      </c>
      <c r="R21" s="8" t="inlineStr">
        <is>
          <t>男性の敵へ攻撃ダメージを与えた時、対象を行動不能（1ターン）にする。</t>
        </is>
      </c>
      <c r="S21" s="5" t="inlineStr">
        <is>
          <t>after_attack</t>
        </is>
      </c>
    </row>
    <row r="22">
      <c r="A22" s="5" t="inlineStr">
        <is>
          <t>アスタロト</t>
        </is>
      </c>
      <c r="B22" s="5" t="inlineStr">
        <is>
          <t>A</t>
        </is>
      </c>
      <c r="C22" s="5" t="n">
        <v>4</v>
      </c>
      <c r="D22" s="5" t="inlineStr">
        <is>
          <t>男性</t>
        </is>
      </c>
      <c r="E22" s="6" t="n">
        <v>42</v>
      </c>
      <c r="F22" s="6" t="n">
        <v>8</v>
      </c>
      <c r="G22" s="6" t="n">
        <v>57</v>
      </c>
      <c r="H22" s="7">
        <f>E22+'③ パラメータ'!B27*(5-1)</f>
        <v/>
      </c>
      <c r="I22" s="7">
        <f>F22+'③ パラメータ'!C27*(5-1)</f>
        <v/>
      </c>
      <c r="J22" s="7">
        <f>G22</f>
        <v/>
      </c>
      <c r="K22" s="7">
        <f>E22+'③ パラメータ'!B27*('③ パラメータ'!B32-1)</f>
        <v/>
      </c>
      <c r="L22" s="7">
        <f>F22+'③ パラメータ'!C27*('③ パラメータ'!B32-1)</f>
        <v/>
      </c>
      <c r="M22" s="7">
        <f>G22</f>
        <v/>
      </c>
      <c r="N22" s="5" t="inlineStr">
        <is>
          <t>魔王の叡智</t>
        </is>
      </c>
      <c r="O22" s="8" t="inlineStr">
        <is>
          <t>味方全員に付与されている状態異常をすべて解除する。デバフは解除しない。</t>
        </is>
      </c>
      <c r="P22" s="5" t="inlineStr">
        <is>
          <t>1バトル1回</t>
        </is>
      </c>
      <c r="Q22" s="5" t="inlineStr">
        <is>
          <t>—</t>
        </is>
      </c>
      <c r="R22" s="5" t="inlineStr">
        <is>
          <t>—</t>
        </is>
      </c>
      <c r="S22" s="5" t="inlineStr">
        <is>
          <t>—</t>
        </is>
      </c>
    </row>
    <row r="23">
      <c r="A23" s="5" t="inlineStr">
        <is>
          <t>ファフニール</t>
        </is>
      </c>
      <c r="B23" s="5" t="inlineStr">
        <is>
          <t>A</t>
        </is>
      </c>
      <c r="C23" s="5" t="n">
        <v>4</v>
      </c>
      <c r="D23" s="5" t="inlineStr">
        <is>
          <t>男性</t>
        </is>
      </c>
      <c r="E23" s="6" t="n">
        <v>47</v>
      </c>
      <c r="F23" s="6" t="n">
        <v>7</v>
      </c>
      <c r="G23" s="6" t="n">
        <v>31</v>
      </c>
      <c r="H23" s="7">
        <f>E23+'③ パラメータ'!B27*(5-1)</f>
        <v/>
      </c>
      <c r="I23" s="7">
        <f>F23+'③ パラメータ'!C27*(5-1)</f>
        <v/>
      </c>
      <c r="J23" s="7">
        <f>G23</f>
        <v/>
      </c>
      <c r="K23" s="7">
        <f>E23+'③ パラメータ'!B27*('③ パラメータ'!B32-1)</f>
        <v/>
      </c>
      <c r="L23" s="7">
        <f>F23+'③ パラメータ'!C27*('③ パラメータ'!B32-1)</f>
        <v/>
      </c>
      <c r="M23" s="7">
        <f>G23</f>
        <v/>
      </c>
      <c r="N23" s="5" t="inlineStr">
        <is>
          <t>黄金の加護</t>
        </is>
      </c>
      <c r="O23" s="8" t="inlineStr">
        <is>
          <t>味方1体のHPを、その使い魔の最大HP65%分回復する。</t>
        </is>
      </c>
      <c r="P23" s="5" t="inlineStr">
        <is>
          <t>1バトル1回</t>
        </is>
      </c>
      <c r="Q23" s="5" t="inlineStr">
        <is>
          <t>—</t>
        </is>
      </c>
      <c r="R23" s="5" t="inlineStr">
        <is>
          <t>—</t>
        </is>
      </c>
      <c r="S23" s="5" t="inlineStr">
        <is>
          <t>—</t>
        </is>
      </c>
    </row>
    <row r="24">
      <c r="A24" s="5" t="inlineStr">
        <is>
          <t>レヴィアタン</t>
        </is>
      </c>
      <c r="B24" s="5" t="inlineStr">
        <is>
          <t>A</t>
        </is>
      </c>
      <c r="C24" s="5" t="n">
        <v>4</v>
      </c>
      <c r="D24" s="5" t="inlineStr">
        <is>
          <t>なし</t>
        </is>
      </c>
      <c r="E24" s="6" t="n">
        <v>51</v>
      </c>
      <c r="F24" s="6" t="n">
        <v>6</v>
      </c>
      <c r="G24" s="6" t="n">
        <v>28</v>
      </c>
      <c r="H24" s="7">
        <f>E24+'③ パラメータ'!B27*(5-1)</f>
        <v/>
      </c>
      <c r="I24" s="7">
        <f>F24+'③ パラメータ'!C27*(5-1)</f>
        <v/>
      </c>
      <c r="J24" s="7">
        <f>G24</f>
        <v/>
      </c>
      <c r="K24" s="7">
        <f>E24+'③ パラメータ'!B27*('③ パラメータ'!B32-1)</f>
        <v/>
      </c>
      <c r="L24" s="7">
        <f>F24+'③ パラメータ'!C27*('③ パラメータ'!B32-1)</f>
        <v/>
      </c>
      <c r="M24" s="7">
        <f>G24</f>
        <v/>
      </c>
      <c r="N24" s="5" t="inlineStr">
        <is>
          <t>深海の威圧</t>
        </is>
      </c>
      <c r="O24" s="8" t="inlineStr">
        <is>
          <t>敵全体を挑発（1ターン）する。挑発が強制するのは通常攻撃のみ。</t>
        </is>
      </c>
      <c r="P24" s="5" t="inlineStr">
        <is>
          <t>1バトル1回</t>
        </is>
      </c>
      <c r="Q24" s="5" t="inlineStr">
        <is>
          <t>—</t>
        </is>
      </c>
      <c r="R24" s="5" t="inlineStr">
        <is>
          <t>—</t>
        </is>
      </c>
      <c r="S24" s="5" t="inlineStr">
        <is>
          <t>—</t>
        </is>
      </c>
    </row>
    <row r="25">
      <c r="A25" s="5" t="inlineStr">
        <is>
          <t>サイクロプス</t>
        </is>
      </c>
      <c r="B25" s="5" t="inlineStr">
        <is>
          <t>B</t>
        </is>
      </c>
      <c r="C25" s="5" t="n">
        <v>3</v>
      </c>
      <c r="D25" s="5" t="inlineStr">
        <is>
          <t>男性</t>
        </is>
      </c>
      <c r="E25" s="6" t="n">
        <v>26</v>
      </c>
      <c r="F25" s="6" t="n">
        <v>11</v>
      </c>
      <c r="G25" s="6" t="n">
        <v>27</v>
      </c>
      <c r="H25" s="7">
        <f>E25+'③ パラメータ'!B26*(5-1)</f>
        <v/>
      </c>
      <c r="I25" s="7">
        <f>F25+'③ パラメータ'!C26*(5-1)</f>
        <v/>
      </c>
      <c r="J25" s="7">
        <f>G25</f>
        <v/>
      </c>
      <c r="K25" s="7">
        <f>E25+'③ パラメータ'!B26*('③ パラメータ'!B32-1)</f>
        <v/>
      </c>
      <c r="L25" s="7">
        <f>F25+'③ パラメータ'!C26*('③ パラメータ'!B32-1)</f>
        <v/>
      </c>
      <c r="M25" s="7">
        <f>G25</f>
        <v/>
      </c>
      <c r="N25" s="5" t="inlineStr">
        <is>
          <t>—</t>
        </is>
      </c>
      <c r="O25" s="5" t="inlineStr">
        <is>
          <t>—</t>
        </is>
      </c>
      <c r="P25" s="5" t="inlineStr">
        <is>
          <t>—</t>
        </is>
      </c>
      <c r="Q25" s="5" t="inlineStr">
        <is>
          <t>—</t>
        </is>
      </c>
      <c r="R25" s="5" t="inlineStr">
        <is>
          <t>—</t>
        </is>
      </c>
      <c r="S25" s="5" t="inlineStr">
        <is>
          <t>—</t>
        </is>
      </c>
    </row>
    <row r="26">
      <c r="A26" s="5" t="inlineStr">
        <is>
          <t>ガルム</t>
        </is>
      </c>
      <c r="B26" s="5" t="inlineStr">
        <is>
          <t>B</t>
        </is>
      </c>
      <c r="C26" s="5" t="n">
        <v>3</v>
      </c>
      <c r="D26" s="5" t="inlineStr">
        <is>
          <t>男性</t>
        </is>
      </c>
      <c r="E26" s="6" t="n">
        <v>28</v>
      </c>
      <c r="F26" s="6" t="n">
        <v>9</v>
      </c>
      <c r="G26" s="6" t="n">
        <v>70</v>
      </c>
      <c r="H26" s="7">
        <f>E26+'③ パラメータ'!B26*(5-1)</f>
        <v/>
      </c>
      <c r="I26" s="7">
        <f>F26+'③ パラメータ'!C26*(5-1)</f>
        <v/>
      </c>
      <c r="J26" s="7">
        <f>G26</f>
        <v/>
      </c>
      <c r="K26" s="7">
        <f>E26+'③ パラメータ'!B26*('③ パラメータ'!B32-1)</f>
        <v/>
      </c>
      <c r="L26" s="7">
        <f>F26+'③ パラメータ'!C26*('③ パラメータ'!B32-1)</f>
        <v/>
      </c>
      <c r="M26" s="7">
        <f>G26</f>
        <v/>
      </c>
      <c r="N26" s="5" t="inlineStr">
        <is>
          <t>—</t>
        </is>
      </c>
      <c r="O26" s="5" t="inlineStr">
        <is>
          <t>—</t>
        </is>
      </c>
      <c r="P26" s="5" t="inlineStr">
        <is>
          <t>—</t>
        </is>
      </c>
      <c r="Q26" s="5" t="inlineStr">
        <is>
          <t>—</t>
        </is>
      </c>
      <c r="R26" s="5" t="inlineStr">
        <is>
          <t>—</t>
        </is>
      </c>
      <c r="S26" s="5" t="inlineStr">
        <is>
          <t>—</t>
        </is>
      </c>
    </row>
    <row r="27">
      <c r="A27" s="5" t="inlineStr">
        <is>
          <t>ケルベロス</t>
        </is>
      </c>
      <c r="B27" s="5" t="inlineStr">
        <is>
          <t>B</t>
        </is>
      </c>
      <c r="C27" s="5" t="n">
        <v>3</v>
      </c>
      <c r="D27" s="5" t="inlineStr">
        <is>
          <t>男性</t>
        </is>
      </c>
      <c r="E27" s="6" t="n">
        <v>25</v>
      </c>
      <c r="F27" s="6" t="n">
        <v>8</v>
      </c>
      <c r="G27" s="6" t="n">
        <v>44</v>
      </c>
      <c r="H27" s="7">
        <f>E27+'③ パラメータ'!B26*(5-1)</f>
        <v/>
      </c>
      <c r="I27" s="7">
        <f>F27+'③ パラメータ'!C26*(5-1)</f>
        <v/>
      </c>
      <c r="J27" s="7">
        <f>G27</f>
        <v/>
      </c>
      <c r="K27" s="7">
        <f>E27+'③ パラメータ'!B26*('③ パラメータ'!B32-1)</f>
        <v/>
      </c>
      <c r="L27" s="7">
        <f>F27+'③ パラメータ'!C26*('③ パラメータ'!B32-1)</f>
        <v/>
      </c>
      <c r="M27" s="7">
        <f>G27</f>
        <v/>
      </c>
      <c r="N27" s="5" t="inlineStr">
        <is>
          <t>—</t>
        </is>
      </c>
      <c r="O27" s="5" t="inlineStr">
        <is>
          <t>—</t>
        </is>
      </c>
      <c r="P27" s="5" t="inlineStr">
        <is>
          <t>—</t>
        </is>
      </c>
      <c r="Q27" s="5" t="inlineStr">
        <is>
          <t>三頭の狩り</t>
        </is>
      </c>
      <c r="R27" s="8" t="inlineStr">
        <is>
          <t>HP50%以下の敵を攻撃する時、その攻撃のみATK+25%。</t>
        </is>
      </c>
      <c r="S27" s="5" t="inlineStr">
        <is>
          <t>before_attack</t>
        </is>
      </c>
    </row>
    <row r="28">
      <c r="A28" s="5" t="inlineStr">
        <is>
          <t>グリフォン</t>
        </is>
      </c>
      <c r="B28" s="5" t="inlineStr">
        <is>
          <t>B</t>
        </is>
      </c>
      <c r="C28" s="5" t="n">
        <v>3</v>
      </c>
      <c r="D28" s="5" t="inlineStr">
        <is>
          <t>なし</t>
        </is>
      </c>
      <c r="E28" s="6" t="n">
        <v>32</v>
      </c>
      <c r="F28" s="6" t="n">
        <v>8</v>
      </c>
      <c r="G28" s="6" t="n">
        <v>90</v>
      </c>
      <c r="H28" s="7">
        <f>E28+'③ パラメータ'!B26*(5-1)</f>
        <v/>
      </c>
      <c r="I28" s="7">
        <f>F28+'③ パラメータ'!C26*(5-1)</f>
        <v/>
      </c>
      <c r="J28" s="7">
        <f>G28</f>
        <v/>
      </c>
      <c r="K28" s="7">
        <f>E28+'③ パラメータ'!B26*('③ パラメータ'!B32-1)</f>
        <v/>
      </c>
      <c r="L28" s="7">
        <f>F28+'③ パラメータ'!C26*('③ パラメータ'!B32-1)</f>
        <v/>
      </c>
      <c r="M28" s="7">
        <f>G28</f>
        <v/>
      </c>
      <c r="N28" s="5" t="inlineStr">
        <is>
          <t>—</t>
        </is>
      </c>
      <c r="O28" s="5" t="inlineStr">
        <is>
          <t>—</t>
        </is>
      </c>
      <c r="P28" s="5" t="inlineStr">
        <is>
          <t>—</t>
        </is>
      </c>
      <c r="Q28" s="5" t="inlineStr">
        <is>
          <t>—</t>
        </is>
      </c>
      <c r="R28" s="5" t="inlineStr">
        <is>
          <t>—</t>
        </is>
      </c>
      <c r="S28" s="5" t="inlineStr">
        <is>
          <t>—</t>
        </is>
      </c>
    </row>
    <row r="29">
      <c r="A29" s="5" t="inlineStr">
        <is>
          <t>イフリート</t>
        </is>
      </c>
      <c r="B29" s="5" t="inlineStr">
        <is>
          <t>B</t>
        </is>
      </c>
      <c r="C29" s="5" t="n">
        <v>3</v>
      </c>
      <c r="D29" s="5" t="inlineStr">
        <is>
          <t>男性</t>
        </is>
      </c>
      <c r="E29" s="6" t="n">
        <v>25</v>
      </c>
      <c r="F29" s="6" t="n">
        <v>8</v>
      </c>
      <c r="G29" s="6" t="n">
        <v>49</v>
      </c>
      <c r="H29" s="7">
        <f>E29+'③ パラメータ'!B26*(5-1)</f>
        <v/>
      </c>
      <c r="I29" s="7">
        <f>F29+'③ パラメータ'!C26*(5-1)</f>
        <v/>
      </c>
      <c r="J29" s="7">
        <f>G29</f>
        <v/>
      </c>
      <c r="K29" s="7">
        <f>E29+'③ パラメータ'!B26*('③ パラメータ'!B32-1)</f>
        <v/>
      </c>
      <c r="L29" s="7">
        <f>F29+'③ パラメータ'!C26*('③ パラメータ'!B32-1)</f>
        <v/>
      </c>
      <c r="M29" s="7">
        <f>G29</f>
        <v/>
      </c>
      <c r="N29" s="5" t="inlineStr">
        <is>
          <t>灼熱</t>
        </is>
      </c>
      <c r="O29" s="8" t="inlineStr">
        <is>
          <t>敵1体へ、自身のATK75%のスキルダメージ。このターンの攻撃を消費する。</t>
        </is>
      </c>
      <c r="P29" s="5" t="inlineStr">
        <is>
          <t>1バトル1回</t>
        </is>
      </c>
      <c r="Q29" s="5" t="inlineStr">
        <is>
          <t>—</t>
        </is>
      </c>
      <c r="R29" s="5" t="inlineStr">
        <is>
          <t>—</t>
        </is>
      </c>
      <c r="S29" s="5" t="inlineStr">
        <is>
          <t>—</t>
        </is>
      </c>
    </row>
    <row r="30">
      <c r="A30" s="5" t="inlineStr">
        <is>
          <t>フレースヴェルグ</t>
        </is>
      </c>
      <c r="B30" s="5" t="inlineStr">
        <is>
          <t>B</t>
        </is>
      </c>
      <c r="C30" s="5" t="n">
        <v>3</v>
      </c>
      <c r="D30" s="5" t="inlineStr">
        <is>
          <t>男性</t>
        </is>
      </c>
      <c r="E30" s="6" t="n">
        <v>27</v>
      </c>
      <c r="F30" s="6" t="n">
        <v>7</v>
      </c>
      <c r="G30" s="6" t="n">
        <v>87</v>
      </c>
      <c r="H30" s="7">
        <f>E30+'③ パラメータ'!B26*(5-1)</f>
        <v/>
      </c>
      <c r="I30" s="7">
        <f>F30+'③ パラメータ'!C26*(5-1)</f>
        <v/>
      </c>
      <c r="J30" s="7">
        <f>G30</f>
        <v/>
      </c>
      <c r="K30" s="7">
        <f>E30+'③ パラメータ'!B26*('③ パラメータ'!B32-1)</f>
        <v/>
      </c>
      <c r="L30" s="7">
        <f>F30+'③ パラメータ'!C26*('③ パラメータ'!B32-1)</f>
        <v/>
      </c>
      <c r="M30" s="7">
        <f>G30</f>
        <v/>
      </c>
      <c r="N30" s="5" t="inlineStr">
        <is>
          <t>—</t>
        </is>
      </c>
      <c r="O30" s="5" t="inlineStr">
        <is>
          <t>—</t>
        </is>
      </c>
      <c r="P30" s="5" t="inlineStr">
        <is>
          <t>—</t>
        </is>
      </c>
      <c r="Q30" s="5" t="inlineStr">
        <is>
          <t>暴風の翼</t>
        </is>
      </c>
      <c r="R30" s="8" t="inlineStr">
        <is>
          <t>攻撃ダメージを与えた敵のSPD-5%（1ターン）。</t>
        </is>
      </c>
      <c r="S30" s="5" t="inlineStr">
        <is>
          <t>after_attack</t>
        </is>
      </c>
    </row>
    <row r="31">
      <c r="A31" s="5" t="inlineStr">
        <is>
          <t>メドゥーサ</t>
        </is>
      </c>
      <c r="B31" s="5" t="inlineStr">
        <is>
          <t>B</t>
        </is>
      </c>
      <c r="C31" s="5" t="n">
        <v>3</v>
      </c>
      <c r="D31" s="5" t="inlineStr">
        <is>
          <t>女性</t>
        </is>
      </c>
      <c r="E31" s="6" t="n">
        <v>28</v>
      </c>
      <c r="F31" s="6" t="n">
        <v>7</v>
      </c>
      <c r="G31" s="6" t="n">
        <v>80</v>
      </c>
      <c r="H31" s="7">
        <f>E31+'③ パラメータ'!B26*(5-1)</f>
        <v/>
      </c>
      <c r="I31" s="7">
        <f>F31+'③ パラメータ'!C26*(5-1)</f>
        <v/>
      </c>
      <c r="J31" s="7">
        <f>G31</f>
        <v/>
      </c>
      <c r="K31" s="7">
        <f>E31+'③ パラメータ'!B26*('③ パラメータ'!B32-1)</f>
        <v/>
      </c>
      <c r="L31" s="7">
        <f>F31+'③ パラメータ'!C26*('③ パラメータ'!B32-1)</f>
        <v/>
      </c>
      <c r="M31" s="7">
        <f>G31</f>
        <v/>
      </c>
      <c r="N31" s="5" t="inlineStr">
        <is>
          <t>石化の魔眼</t>
        </is>
      </c>
      <c r="O31" s="8" t="inlineStr">
        <is>
          <t>敵1体を行動不能（1ターン）にする。このターンの攻撃を消費する。</t>
        </is>
      </c>
      <c r="P31" s="5" t="inlineStr">
        <is>
          <t>1バトル1回</t>
        </is>
      </c>
      <c r="Q31" s="5" t="inlineStr">
        <is>
          <t>—</t>
        </is>
      </c>
      <c r="R31" s="5" t="inlineStr">
        <is>
          <t>—</t>
        </is>
      </c>
      <c r="S31" s="5" t="inlineStr">
        <is>
          <t>—</t>
        </is>
      </c>
    </row>
    <row r="32">
      <c r="A32" s="5" t="inlineStr">
        <is>
          <t>ミノタウロス</t>
        </is>
      </c>
      <c r="B32" s="5" t="inlineStr">
        <is>
          <t>B</t>
        </is>
      </c>
      <c r="C32" s="5" t="n">
        <v>3</v>
      </c>
      <c r="D32" s="5" t="inlineStr">
        <is>
          <t>男性</t>
        </is>
      </c>
      <c r="E32" s="6" t="n">
        <v>40</v>
      </c>
      <c r="F32" s="6" t="n">
        <v>7</v>
      </c>
      <c r="G32" s="6" t="n">
        <v>15</v>
      </c>
      <c r="H32" s="7">
        <f>E32+'③ パラメータ'!B26*(5-1)</f>
        <v/>
      </c>
      <c r="I32" s="7">
        <f>F32+'③ パラメータ'!C26*(5-1)</f>
        <v/>
      </c>
      <c r="J32" s="7">
        <f>G32</f>
        <v/>
      </c>
      <c r="K32" s="7">
        <f>E32+'③ パラメータ'!B26*('③ パラメータ'!B32-1)</f>
        <v/>
      </c>
      <c r="L32" s="7">
        <f>F32+'③ パラメータ'!C26*('③ パラメータ'!B32-1)</f>
        <v/>
      </c>
      <c r="M32" s="7">
        <f>G32</f>
        <v/>
      </c>
      <c r="N32" s="5" t="inlineStr">
        <is>
          <t>—</t>
        </is>
      </c>
      <c r="O32" s="5" t="inlineStr">
        <is>
          <t>—</t>
        </is>
      </c>
      <c r="P32" s="5" t="inlineStr">
        <is>
          <t>—</t>
        </is>
      </c>
      <c r="Q32" s="5" t="inlineStr">
        <is>
          <t>—</t>
        </is>
      </c>
      <c r="R32" s="5" t="inlineStr">
        <is>
          <t>—</t>
        </is>
      </c>
      <c r="S32" s="5" t="inlineStr">
        <is>
          <t>—</t>
        </is>
      </c>
    </row>
    <row r="33">
      <c r="A33" s="5" t="inlineStr">
        <is>
          <t>キマイラ</t>
        </is>
      </c>
      <c r="B33" s="5" t="inlineStr">
        <is>
          <t>B</t>
        </is>
      </c>
      <c r="C33" s="5" t="n">
        <v>3</v>
      </c>
      <c r="D33" s="5" t="inlineStr">
        <is>
          <t>女性</t>
        </is>
      </c>
      <c r="E33" s="6" t="n">
        <v>28</v>
      </c>
      <c r="F33" s="6" t="n">
        <v>7</v>
      </c>
      <c r="G33" s="6" t="n">
        <v>61</v>
      </c>
      <c r="H33" s="7">
        <f>E33+'③ パラメータ'!B26*(5-1)</f>
        <v/>
      </c>
      <c r="I33" s="7">
        <f>F33+'③ パラメータ'!C26*(5-1)</f>
        <v/>
      </c>
      <c r="J33" s="7">
        <f>G33</f>
        <v/>
      </c>
      <c r="K33" s="7">
        <f>E33+'③ パラメータ'!B26*('③ パラメータ'!B32-1)</f>
        <v/>
      </c>
      <c r="L33" s="7">
        <f>F33+'③ パラメータ'!C26*('③ パラメータ'!B32-1)</f>
        <v/>
      </c>
      <c r="M33" s="7">
        <f>G33</f>
        <v/>
      </c>
      <c r="N33" s="5" t="inlineStr">
        <is>
          <t>—</t>
        </is>
      </c>
      <c r="O33" s="5" t="inlineStr">
        <is>
          <t>—</t>
        </is>
      </c>
      <c r="P33" s="5" t="inlineStr">
        <is>
          <t>—</t>
        </is>
      </c>
      <c r="Q33" s="5" t="inlineStr">
        <is>
          <t>異形の狩り</t>
        </is>
      </c>
      <c r="R33" s="8" t="inlineStr">
        <is>
          <t>状態異常またはデバフを受けている敵を攻撃する時、その攻撃のみATK+30%。</t>
        </is>
      </c>
      <c r="S33" s="5" t="inlineStr">
        <is>
          <t>before_attack</t>
        </is>
      </c>
    </row>
    <row r="34">
      <c r="A34" s="5" t="inlineStr">
        <is>
          <t>アザゼル</t>
        </is>
      </c>
      <c r="B34" s="5" t="inlineStr">
        <is>
          <t>B</t>
        </is>
      </c>
      <c r="C34" s="5" t="n">
        <v>3</v>
      </c>
      <c r="D34" s="5" t="inlineStr">
        <is>
          <t>男性</t>
        </is>
      </c>
      <c r="E34" s="6" t="n">
        <v>28</v>
      </c>
      <c r="F34" s="6" t="n">
        <v>7</v>
      </c>
      <c r="G34" s="6" t="n">
        <v>68</v>
      </c>
      <c r="H34" s="7">
        <f>E34+'③ パラメータ'!B26*(5-1)</f>
        <v/>
      </c>
      <c r="I34" s="7">
        <f>F34+'③ パラメータ'!C26*(5-1)</f>
        <v/>
      </c>
      <c r="J34" s="7">
        <f>G34</f>
        <v/>
      </c>
      <c r="K34" s="7">
        <f>E34+'③ パラメータ'!B26*('③ パラメータ'!B32-1)</f>
        <v/>
      </c>
      <c r="L34" s="7">
        <f>F34+'③ パラメータ'!C26*('③ パラメータ'!B32-1)</f>
        <v/>
      </c>
      <c r="M34" s="7">
        <f>G34</f>
        <v/>
      </c>
      <c r="N34" s="5" t="inlineStr">
        <is>
          <t>堕天の鼓舞</t>
        </is>
      </c>
      <c r="O34" s="8" t="inlineStr">
        <is>
          <t>味方1体のATK+15%（2ターン）。</t>
        </is>
      </c>
      <c r="P34" s="5" t="inlineStr">
        <is>
          <t>制限なし</t>
        </is>
      </c>
      <c r="Q34" s="5" t="inlineStr">
        <is>
          <t>—</t>
        </is>
      </c>
      <c r="R34" s="5" t="inlineStr">
        <is>
          <t>—</t>
        </is>
      </c>
      <c r="S34" s="5" t="inlineStr">
        <is>
          <t>—</t>
        </is>
      </c>
    </row>
    <row r="35">
      <c r="A35" s="5" t="inlineStr">
        <is>
          <t>セイレーン</t>
        </is>
      </c>
      <c r="B35" s="5" t="inlineStr">
        <is>
          <t>B</t>
        </is>
      </c>
      <c r="C35" s="5" t="n">
        <v>3</v>
      </c>
      <c r="D35" s="5" t="inlineStr">
        <is>
          <t>女性</t>
        </is>
      </c>
      <c r="E35" s="6" t="n">
        <v>27</v>
      </c>
      <c r="F35" s="6" t="n">
        <v>7</v>
      </c>
      <c r="G35" s="6" t="n">
        <v>81</v>
      </c>
      <c r="H35" s="7">
        <f>E35+'③ パラメータ'!B26*(5-1)</f>
        <v/>
      </c>
      <c r="I35" s="7">
        <f>F35+'③ パラメータ'!C26*(5-1)</f>
        <v/>
      </c>
      <c r="J35" s="7">
        <f>G35</f>
        <v/>
      </c>
      <c r="K35" s="7">
        <f>E35+'③ パラメータ'!B26*('③ パラメータ'!B32-1)</f>
        <v/>
      </c>
      <c r="L35" s="7">
        <f>F35+'③ パラメータ'!C26*('③ パラメータ'!B32-1)</f>
        <v/>
      </c>
      <c r="M35" s="7">
        <f>G35</f>
        <v/>
      </c>
      <c r="N35" s="5" t="inlineStr">
        <is>
          <t>—</t>
        </is>
      </c>
      <c r="O35" s="5" t="inlineStr">
        <is>
          <t>—</t>
        </is>
      </c>
      <c r="P35" s="5" t="inlineStr">
        <is>
          <t>—</t>
        </is>
      </c>
      <c r="Q35" s="5" t="inlineStr">
        <is>
          <t>惑わしの歌</t>
        </is>
      </c>
      <c r="R35" s="8" t="inlineStr">
        <is>
          <t>バトル開始時、男性の敵の中で最もATKが高い1体のATK-15%。</t>
        </is>
      </c>
      <c r="S35" s="5" t="inlineStr">
        <is>
          <t>バトル開始時</t>
        </is>
      </c>
    </row>
    <row r="36">
      <c r="A36" s="5" t="inlineStr">
        <is>
          <t>デュラハン</t>
        </is>
      </c>
      <c r="B36" s="5" t="inlineStr">
        <is>
          <t>B</t>
        </is>
      </c>
      <c r="C36" s="5" t="n">
        <v>3</v>
      </c>
      <c r="D36" s="5" t="inlineStr">
        <is>
          <t>男性</t>
        </is>
      </c>
      <c r="E36" s="6" t="n">
        <v>30</v>
      </c>
      <c r="F36" s="6" t="n">
        <v>7</v>
      </c>
      <c r="G36" s="6" t="n">
        <v>39</v>
      </c>
      <c r="H36" s="7">
        <f>E36+'③ パラメータ'!B26*(5-1)</f>
        <v/>
      </c>
      <c r="I36" s="7">
        <f>F36+'③ パラメータ'!C26*(5-1)</f>
        <v/>
      </c>
      <c r="J36" s="7">
        <f>G36</f>
        <v/>
      </c>
      <c r="K36" s="7">
        <f>E36+'③ パラメータ'!B26*('③ パラメータ'!B32-1)</f>
        <v/>
      </c>
      <c r="L36" s="7">
        <f>F36+'③ パラメータ'!C26*('③ パラメータ'!B32-1)</f>
        <v/>
      </c>
      <c r="M36" s="7">
        <f>G36</f>
        <v/>
      </c>
      <c r="N36" s="5" t="inlineStr">
        <is>
          <t>—</t>
        </is>
      </c>
      <c r="O36" s="5" t="inlineStr">
        <is>
          <t>—</t>
        </is>
      </c>
      <c r="P36" s="5" t="inlineStr">
        <is>
          <t>—</t>
        </is>
      </c>
      <c r="Q36" s="5" t="inlineStr">
        <is>
          <t>首無し騎士</t>
        </is>
      </c>
      <c r="R36" s="8" t="inlineStr">
        <is>
          <t>攻撃ダメージによって戦闘不能になる時、最大HP4%で耐える。スキルダメージ・継続ダメージでは発動しない。</t>
        </is>
      </c>
      <c r="S36" s="5" t="inlineStr">
        <is>
          <t>自分が倒れる直前</t>
        </is>
      </c>
    </row>
    <row r="37">
      <c r="A37" s="5" t="inlineStr">
        <is>
          <t>バンシー</t>
        </is>
      </c>
      <c r="B37" s="5" t="inlineStr">
        <is>
          <t>B</t>
        </is>
      </c>
      <c r="C37" s="5" t="n">
        <v>3</v>
      </c>
      <c r="D37" s="5" t="inlineStr">
        <is>
          <t>女性</t>
        </is>
      </c>
      <c r="E37" s="6" t="n">
        <v>28</v>
      </c>
      <c r="F37" s="6" t="n">
        <v>7</v>
      </c>
      <c r="G37" s="6" t="n">
        <v>67</v>
      </c>
      <c r="H37" s="7">
        <f>E37+'③ パラメータ'!B26*(5-1)</f>
        <v/>
      </c>
      <c r="I37" s="7">
        <f>F37+'③ パラメータ'!C26*(5-1)</f>
        <v/>
      </c>
      <c r="J37" s="7">
        <f>G37</f>
        <v/>
      </c>
      <c r="K37" s="7">
        <f>E37+'③ パラメータ'!B26*('③ パラメータ'!B32-1)</f>
        <v/>
      </c>
      <c r="L37" s="7">
        <f>F37+'③ パラメータ'!C26*('③ パラメータ'!B32-1)</f>
        <v/>
      </c>
      <c r="M37" s="7">
        <f>G37</f>
        <v/>
      </c>
      <c r="N37" s="5" t="inlineStr">
        <is>
          <t>—</t>
        </is>
      </c>
      <c r="O37" s="5" t="inlineStr">
        <is>
          <t>—</t>
        </is>
      </c>
      <c r="P37" s="5" t="inlineStr">
        <is>
          <t>—</t>
        </is>
      </c>
      <c r="Q37" s="5" t="inlineStr">
        <is>
          <t>死者の慟哭</t>
        </is>
      </c>
      <c r="R37" s="8" t="inlineStr">
        <is>
          <t>味方が蘇生した時、その使い魔のHPを、さらに最大HP25%分回復する。</t>
        </is>
      </c>
      <c r="S37" s="5" t="inlineStr">
        <is>
          <t>蘇生された時</t>
        </is>
      </c>
    </row>
    <row r="38">
      <c r="A38" s="5" t="inlineStr">
        <is>
          <t>ヒュドラ</t>
        </is>
      </c>
      <c r="B38" s="5" t="inlineStr">
        <is>
          <t>B</t>
        </is>
      </c>
      <c r="C38" s="5" t="n">
        <v>3</v>
      </c>
      <c r="D38" s="5" t="inlineStr">
        <is>
          <t>女性</t>
        </is>
      </c>
      <c r="E38" s="6" t="n">
        <v>34</v>
      </c>
      <c r="F38" s="6" t="n">
        <v>6</v>
      </c>
      <c r="G38" s="6" t="n">
        <v>42</v>
      </c>
      <c r="H38" s="7">
        <f>E38+'③ パラメータ'!B26*(5-1)</f>
        <v/>
      </c>
      <c r="I38" s="7">
        <f>F38+'③ パラメータ'!C26*(5-1)</f>
        <v/>
      </c>
      <c r="J38" s="7">
        <f>G38</f>
        <v/>
      </c>
      <c r="K38" s="7">
        <f>E38+'③ パラメータ'!B26*('③ パラメータ'!B32-1)</f>
        <v/>
      </c>
      <c r="L38" s="7">
        <f>F38+'③ パラメータ'!C26*('③ パラメータ'!B32-1)</f>
        <v/>
      </c>
      <c r="M38" s="7">
        <f>G38</f>
        <v/>
      </c>
      <c r="N38" s="5" t="inlineStr">
        <is>
          <t>—</t>
        </is>
      </c>
      <c r="O38" s="5" t="inlineStr">
        <is>
          <t>—</t>
        </is>
      </c>
      <c r="P38" s="5" t="inlineStr">
        <is>
          <t>—</t>
        </is>
      </c>
      <c r="Q38" s="5" t="inlineStr">
        <is>
          <t>猛毒増幅</t>
        </is>
      </c>
      <c r="R38" s="8" t="inlineStr">
        <is>
          <t>敵に毒が付与される時、その毒のダメージ+1、継続ターン+1。同じ毒に対して1回のみ適用。</t>
        </is>
      </c>
      <c r="S38" s="5" t="inlineStr">
        <is>
          <t>バトル開始時</t>
        </is>
      </c>
    </row>
    <row r="39">
      <c r="A39" s="5" t="inlineStr">
        <is>
          <t>雪女</t>
        </is>
      </c>
      <c r="B39" s="5" t="inlineStr">
        <is>
          <t>B</t>
        </is>
      </c>
      <c r="C39" s="5" t="n">
        <v>3</v>
      </c>
      <c r="D39" s="5" t="inlineStr">
        <is>
          <t>女性</t>
        </is>
      </c>
      <c r="E39" s="6" t="n">
        <v>33</v>
      </c>
      <c r="F39" s="6" t="n">
        <v>6</v>
      </c>
      <c r="G39" s="6" t="n">
        <v>73</v>
      </c>
      <c r="H39" s="7">
        <f>E39+'③ パラメータ'!B26*(5-1)</f>
        <v/>
      </c>
      <c r="I39" s="7">
        <f>F39+'③ パラメータ'!C26*(5-1)</f>
        <v/>
      </c>
      <c r="J39" s="7">
        <f>G39</f>
        <v/>
      </c>
      <c r="K39" s="7">
        <f>E39+'③ パラメータ'!B26*('③ パラメータ'!B32-1)</f>
        <v/>
      </c>
      <c r="L39" s="7">
        <f>F39+'③ パラメータ'!C26*('③ パラメータ'!B32-1)</f>
        <v/>
      </c>
      <c r="M39" s="7">
        <f>G39</f>
        <v/>
      </c>
      <c r="N39" s="5" t="inlineStr">
        <is>
          <t>凍てつく風</t>
        </is>
      </c>
      <c r="O39" s="8" t="inlineStr">
        <is>
          <t>敵全体のSPD-5%（1ターン）。このターンの攻撃を消費する。</t>
        </is>
      </c>
      <c r="P39" s="5" t="inlineStr">
        <is>
          <t>制限なし</t>
        </is>
      </c>
      <c r="Q39" s="5" t="inlineStr">
        <is>
          <t>—</t>
        </is>
      </c>
      <c r="R39" s="5" t="inlineStr">
        <is>
          <t>—</t>
        </is>
      </c>
      <c r="S39" s="5" t="inlineStr">
        <is>
          <t>—</t>
        </is>
      </c>
    </row>
    <row r="40">
      <c r="A40" s="5" t="inlineStr">
        <is>
          <t>パイモン</t>
        </is>
      </c>
      <c r="B40" s="5" t="inlineStr">
        <is>
          <t>B</t>
        </is>
      </c>
      <c r="C40" s="5" t="n">
        <v>3</v>
      </c>
      <c r="D40" s="5" t="inlineStr">
        <is>
          <t>男性</t>
        </is>
      </c>
      <c r="E40" s="6" t="n">
        <v>33</v>
      </c>
      <c r="F40" s="6" t="n">
        <v>6</v>
      </c>
      <c r="G40" s="6" t="n">
        <v>72</v>
      </c>
      <c r="H40" s="7">
        <f>E40+'③ パラメータ'!B26*(5-1)</f>
        <v/>
      </c>
      <c r="I40" s="7">
        <f>F40+'③ パラメータ'!C26*(5-1)</f>
        <v/>
      </c>
      <c r="J40" s="7">
        <f>G40</f>
        <v/>
      </c>
      <c r="K40" s="7">
        <f>E40+'③ パラメータ'!B26*('③ パラメータ'!B32-1)</f>
        <v/>
      </c>
      <c r="L40" s="7">
        <f>F40+'③ パラメータ'!C26*('③ パラメータ'!B32-1)</f>
        <v/>
      </c>
      <c r="M40" s="7">
        <f>G40</f>
        <v/>
      </c>
      <c r="N40" s="5" t="inlineStr">
        <is>
          <t>—</t>
        </is>
      </c>
      <c r="O40" s="5" t="inlineStr">
        <is>
          <t>—</t>
        </is>
      </c>
      <c r="P40" s="5" t="inlineStr">
        <is>
          <t>—</t>
        </is>
      </c>
      <c r="Q40" s="5" t="inlineStr">
        <is>
          <t>王の施し</t>
        </is>
      </c>
      <c r="R40" s="8" t="inlineStr">
        <is>
          <t>自分のターン開始時、生存している味方の中で現在HPが最も低い1体のHPを、その使い魔の最大HP12%分回復する。</t>
        </is>
      </c>
      <c r="S40" s="5" t="inlineStr">
        <is>
          <t>自分のターン開始時</t>
        </is>
      </c>
    </row>
    <row r="41">
      <c r="A41" s="5" t="inlineStr">
        <is>
          <t>ベヒーモス</t>
        </is>
      </c>
      <c r="B41" s="5" t="inlineStr">
        <is>
          <t>B</t>
        </is>
      </c>
      <c r="C41" s="5" t="n">
        <v>3</v>
      </c>
      <c r="D41" s="5" t="inlineStr">
        <is>
          <t>なし</t>
        </is>
      </c>
      <c r="E41" s="6" t="n">
        <v>44</v>
      </c>
      <c r="F41" s="6" t="n">
        <v>6</v>
      </c>
      <c r="G41" s="6" t="n">
        <v>11</v>
      </c>
      <c r="H41" s="7">
        <f>E41+'③ パラメータ'!B26*(5-1)</f>
        <v/>
      </c>
      <c r="I41" s="7">
        <f>F41+'③ パラメータ'!C26*(5-1)</f>
        <v/>
      </c>
      <c r="J41" s="7">
        <f>G41</f>
        <v/>
      </c>
      <c r="K41" s="7">
        <f>E41+'③ パラメータ'!B26*('③ パラメータ'!B32-1)</f>
        <v/>
      </c>
      <c r="L41" s="7">
        <f>F41+'③ パラメータ'!C26*('③ パラメータ'!B32-1)</f>
        <v/>
      </c>
      <c r="M41" s="7">
        <f>G41</f>
        <v/>
      </c>
      <c r="N41" s="5" t="inlineStr">
        <is>
          <t>—</t>
        </is>
      </c>
      <c r="O41" s="5" t="inlineStr">
        <is>
          <t>—</t>
        </is>
      </c>
      <c r="P41" s="5" t="inlineStr">
        <is>
          <t>—</t>
        </is>
      </c>
      <c r="Q41" s="5" t="inlineStr">
        <is>
          <t>—</t>
        </is>
      </c>
      <c r="R41" s="5" t="inlineStr">
        <is>
          <t>—</t>
        </is>
      </c>
      <c r="S41" s="5" t="inlineStr">
        <is>
          <t>—</t>
        </is>
      </c>
    </row>
    <row r="42">
      <c r="A42" s="5" t="inlineStr">
        <is>
          <t>スフィンクス</t>
        </is>
      </c>
      <c r="B42" s="5" t="inlineStr">
        <is>
          <t>B</t>
        </is>
      </c>
      <c r="C42" s="5" t="n">
        <v>3</v>
      </c>
      <c r="D42" s="5" t="inlineStr">
        <is>
          <t>女性</t>
        </is>
      </c>
      <c r="E42" s="6" t="n">
        <v>35</v>
      </c>
      <c r="F42" s="6" t="n">
        <v>6</v>
      </c>
      <c r="G42" s="6" t="n">
        <v>36</v>
      </c>
      <c r="H42" s="7">
        <f>E42+'③ パラメータ'!B26*(5-1)</f>
        <v/>
      </c>
      <c r="I42" s="7">
        <f>F42+'③ パラメータ'!C26*(5-1)</f>
        <v/>
      </c>
      <c r="J42" s="7">
        <f>G42</f>
        <v/>
      </c>
      <c r="K42" s="7">
        <f>E42+'③ パラメータ'!B26*('③ パラメータ'!B32-1)</f>
        <v/>
      </c>
      <c r="L42" s="7">
        <f>F42+'③ パラメータ'!C26*('③ パラメータ'!B32-1)</f>
        <v/>
      </c>
      <c r="M42" s="7">
        <f>G42</f>
        <v/>
      </c>
      <c r="N42" s="5" t="inlineStr">
        <is>
          <t>—</t>
        </is>
      </c>
      <c r="O42" s="5" t="inlineStr">
        <is>
          <t>—</t>
        </is>
      </c>
      <c r="P42" s="5" t="inlineStr">
        <is>
          <t>—</t>
        </is>
      </c>
      <c r="Q42" s="5" t="inlineStr">
        <is>
          <t>古代の守護</t>
        </is>
      </c>
      <c r="R42" s="8" t="inlineStr">
        <is>
          <t>自身がバトル中初めて受ける状態異常を無効化する。</t>
        </is>
      </c>
      <c r="S42" s="5" t="inlineStr">
        <is>
          <t>状態異常を受ける直前</t>
        </is>
      </c>
    </row>
    <row r="43">
      <c r="A43" s="5" t="inlineStr">
        <is>
          <t>クラーケン</t>
        </is>
      </c>
      <c r="B43" s="5" t="inlineStr">
        <is>
          <t>B</t>
        </is>
      </c>
      <c r="C43" s="5" t="n">
        <v>3</v>
      </c>
      <c r="D43" s="5" t="inlineStr">
        <is>
          <t>なし</t>
        </is>
      </c>
      <c r="E43" s="6" t="n">
        <v>35</v>
      </c>
      <c r="F43" s="6" t="n">
        <v>6</v>
      </c>
      <c r="G43" s="6" t="n">
        <v>23</v>
      </c>
      <c r="H43" s="7">
        <f>E43+'③ パラメータ'!B26*(5-1)</f>
        <v/>
      </c>
      <c r="I43" s="7">
        <f>F43+'③ パラメータ'!C26*(5-1)</f>
        <v/>
      </c>
      <c r="J43" s="7">
        <f>G43</f>
        <v/>
      </c>
      <c r="K43" s="7">
        <f>E43+'③ パラメータ'!B26*('③ パラメータ'!B32-1)</f>
        <v/>
      </c>
      <c r="L43" s="7">
        <f>F43+'③ パラメータ'!C26*('③ パラメータ'!B32-1)</f>
        <v/>
      </c>
      <c r="M43" s="7">
        <f>G43</f>
        <v/>
      </c>
      <c r="N43" s="5" t="inlineStr">
        <is>
          <t>—</t>
        </is>
      </c>
      <c r="O43" s="5" t="inlineStr">
        <is>
          <t>—</t>
        </is>
      </c>
      <c r="P43" s="5" t="inlineStr">
        <is>
          <t>—</t>
        </is>
      </c>
      <c r="Q43" s="5" t="inlineStr">
        <is>
          <t>深海の拘束</t>
        </is>
      </c>
      <c r="R43" s="8" t="inlineStr">
        <is>
          <t>通常攻撃を受けた時、攻撃した敵のSPD-4%（1ターン）。</t>
        </is>
      </c>
      <c r="S43" s="5" t="inlineStr">
        <is>
          <t>on_damage</t>
        </is>
      </c>
    </row>
    <row r="44">
      <c r="A44" s="5" t="inlineStr">
        <is>
          <t>ペガサス</t>
        </is>
      </c>
      <c r="B44" s="5" t="inlineStr">
        <is>
          <t>B</t>
        </is>
      </c>
      <c r="C44" s="5" t="n">
        <v>3</v>
      </c>
      <c r="D44" s="5" t="inlineStr">
        <is>
          <t>男性</t>
        </is>
      </c>
      <c r="E44" s="6" t="n">
        <v>36</v>
      </c>
      <c r="F44" s="6" t="n">
        <v>5</v>
      </c>
      <c r="G44" s="6" t="n">
        <v>99</v>
      </c>
      <c r="H44" s="7">
        <f>E44+'③ パラメータ'!B26*(5-1)</f>
        <v/>
      </c>
      <c r="I44" s="7">
        <f>F44+'③ パラメータ'!C26*(5-1)</f>
        <v/>
      </c>
      <c r="J44" s="7">
        <f>G44</f>
        <v/>
      </c>
      <c r="K44" s="7">
        <f>E44+'③ パラメータ'!B26*('③ パラメータ'!B32-1)</f>
        <v/>
      </c>
      <c r="L44" s="7">
        <f>F44+'③ パラメータ'!C26*('③ パラメータ'!B32-1)</f>
        <v/>
      </c>
      <c r="M44" s="7">
        <f>G44</f>
        <v/>
      </c>
      <c r="N44" s="5" t="inlineStr">
        <is>
          <t>天駆の加護</t>
        </is>
      </c>
      <c r="O44" s="8" t="inlineStr">
        <is>
          <t>味方1体のSPD+12%（2ターン）。</t>
        </is>
      </c>
      <c r="P44" s="5" t="inlineStr">
        <is>
          <t>1バトル1回</t>
        </is>
      </c>
      <c r="Q44" s="5" t="inlineStr">
        <is>
          <t>—</t>
        </is>
      </c>
      <c r="R44" s="5" t="inlineStr">
        <is>
          <t>—</t>
        </is>
      </c>
      <c r="S44" s="5" t="inlineStr">
        <is>
          <t>—</t>
        </is>
      </c>
    </row>
    <row r="45">
      <c r="A45" s="5" t="inlineStr">
        <is>
          <t>ダークエルフ</t>
        </is>
      </c>
      <c r="B45" s="5" t="inlineStr">
        <is>
          <t>C</t>
        </is>
      </c>
      <c r="C45" s="5" t="n">
        <v>2</v>
      </c>
      <c r="D45" s="5" t="inlineStr">
        <is>
          <t>女性</t>
        </is>
      </c>
      <c r="E45" s="6" t="n">
        <v>15</v>
      </c>
      <c r="F45" s="6" t="n">
        <v>8</v>
      </c>
      <c r="G45" s="6" t="n">
        <v>84</v>
      </c>
      <c r="H45" s="7">
        <f>E45+'③ パラメータ'!B25*(5-1)</f>
        <v/>
      </c>
      <c r="I45" s="7">
        <f>F45+'③ パラメータ'!C25*(5-1)</f>
        <v/>
      </c>
      <c r="J45" s="7">
        <f>G45</f>
        <v/>
      </c>
      <c r="K45" s="7">
        <f>E45+'③ パラメータ'!B25*('③ パラメータ'!B32-1)</f>
        <v/>
      </c>
      <c r="L45" s="7">
        <f>F45+'③ パラメータ'!C25*('③ パラメータ'!B32-1)</f>
        <v/>
      </c>
      <c r="M45" s="7">
        <f>G45</f>
        <v/>
      </c>
      <c r="N45" s="5" t="inlineStr">
        <is>
          <t>—</t>
        </is>
      </c>
      <c r="O45" s="5" t="inlineStr">
        <is>
          <t>—</t>
        </is>
      </c>
      <c r="P45" s="5" t="inlineStr">
        <is>
          <t>—</t>
        </is>
      </c>
      <c r="Q45" s="5" t="inlineStr">
        <is>
          <t>—</t>
        </is>
      </c>
      <c r="R45" s="5" t="inlineStr">
        <is>
          <t>—</t>
        </is>
      </c>
      <c r="S45" s="5" t="inlineStr">
        <is>
          <t>—</t>
        </is>
      </c>
    </row>
    <row r="46">
      <c r="A46" s="5" t="inlineStr">
        <is>
          <t>ゴブリン</t>
        </is>
      </c>
      <c r="B46" s="5" t="inlineStr">
        <is>
          <t>C</t>
        </is>
      </c>
      <c r="C46" s="5" t="n">
        <v>2</v>
      </c>
      <c r="D46" s="5" t="inlineStr">
        <is>
          <t>男性</t>
        </is>
      </c>
      <c r="E46" s="6" t="n">
        <v>21</v>
      </c>
      <c r="F46" s="6" t="n">
        <v>7</v>
      </c>
      <c r="G46" s="6" t="n">
        <v>58</v>
      </c>
      <c r="H46" s="7">
        <f>E46+'③ パラメータ'!B25*(5-1)</f>
        <v/>
      </c>
      <c r="I46" s="7">
        <f>F46+'③ パラメータ'!C25*(5-1)</f>
        <v/>
      </c>
      <c r="J46" s="7">
        <f>G46</f>
        <v/>
      </c>
      <c r="K46" s="7">
        <f>E46+'③ パラメータ'!B25*('③ パラメータ'!B32-1)</f>
        <v/>
      </c>
      <c r="L46" s="7">
        <f>F46+'③ パラメータ'!C25*('③ パラメータ'!B32-1)</f>
        <v/>
      </c>
      <c r="M46" s="7">
        <f>G46</f>
        <v/>
      </c>
      <c r="N46" s="5" t="inlineStr">
        <is>
          <t>—</t>
        </is>
      </c>
      <c r="O46" s="5" t="inlineStr">
        <is>
          <t>—</t>
        </is>
      </c>
      <c r="P46" s="5" t="inlineStr">
        <is>
          <t>—</t>
        </is>
      </c>
      <c r="Q46" s="5" t="inlineStr">
        <is>
          <t>—</t>
        </is>
      </c>
      <c r="R46" s="5" t="inlineStr">
        <is>
          <t>—</t>
        </is>
      </c>
      <c r="S46" s="5" t="inlineStr">
        <is>
          <t>—</t>
        </is>
      </c>
    </row>
    <row r="47">
      <c r="A47" s="5" t="inlineStr">
        <is>
          <t>インプ</t>
        </is>
      </c>
      <c r="B47" s="5" t="inlineStr">
        <is>
          <t>C</t>
        </is>
      </c>
      <c r="C47" s="5" t="n">
        <v>2</v>
      </c>
      <c r="D47" s="5" t="inlineStr">
        <is>
          <t>男性</t>
        </is>
      </c>
      <c r="E47" s="6" t="n">
        <v>19</v>
      </c>
      <c r="F47" s="6" t="n">
        <v>7</v>
      </c>
      <c r="G47" s="6" t="n">
        <v>88</v>
      </c>
      <c r="H47" s="7">
        <f>E47+'③ パラメータ'!B25*(5-1)</f>
        <v/>
      </c>
      <c r="I47" s="7">
        <f>F47+'③ パラメータ'!C25*(5-1)</f>
        <v/>
      </c>
      <c r="J47" s="7">
        <f>G47</f>
        <v/>
      </c>
      <c r="K47" s="7">
        <f>E47+'③ パラメータ'!B25*('③ パラメータ'!B32-1)</f>
        <v/>
      </c>
      <c r="L47" s="7">
        <f>F47+'③ パラメータ'!C25*('③ パラメータ'!B32-1)</f>
        <v/>
      </c>
      <c r="M47" s="7">
        <f>G47</f>
        <v/>
      </c>
      <c r="N47" s="5" t="inlineStr">
        <is>
          <t>—</t>
        </is>
      </c>
      <c r="O47" s="5" t="inlineStr">
        <is>
          <t>—</t>
        </is>
      </c>
      <c r="P47" s="5" t="inlineStr">
        <is>
          <t>—</t>
        </is>
      </c>
      <c r="Q47" s="5" t="inlineStr">
        <is>
          <t>—</t>
        </is>
      </c>
      <c r="R47" s="5" t="inlineStr">
        <is>
          <t>—</t>
        </is>
      </c>
      <c r="S47" s="5" t="inlineStr">
        <is>
          <t>—</t>
        </is>
      </c>
    </row>
    <row r="48">
      <c r="A48" s="5" t="inlineStr">
        <is>
          <t>スケルトン</t>
        </is>
      </c>
      <c r="B48" s="5" t="inlineStr">
        <is>
          <t>C</t>
        </is>
      </c>
      <c r="C48" s="5" t="n">
        <v>2</v>
      </c>
      <c r="D48" s="5" t="inlineStr">
        <is>
          <t>なし</t>
        </is>
      </c>
      <c r="E48" s="6" t="n">
        <v>26</v>
      </c>
      <c r="F48" s="6" t="n">
        <v>6</v>
      </c>
      <c r="G48" s="6" t="n">
        <v>21</v>
      </c>
      <c r="H48" s="7">
        <f>E48+'③ パラメータ'!B25*(5-1)</f>
        <v/>
      </c>
      <c r="I48" s="7">
        <f>F48+'③ パラメータ'!C25*(5-1)</f>
        <v/>
      </c>
      <c r="J48" s="7">
        <f>G48</f>
        <v/>
      </c>
      <c r="K48" s="7">
        <f>E48+'③ パラメータ'!B25*('③ パラメータ'!B32-1)</f>
        <v/>
      </c>
      <c r="L48" s="7">
        <f>F48+'③ パラメータ'!C25*('③ パラメータ'!B32-1)</f>
        <v/>
      </c>
      <c r="M48" s="7">
        <f>G48</f>
        <v/>
      </c>
      <c r="N48" s="5" t="inlineStr">
        <is>
          <t>—</t>
        </is>
      </c>
      <c r="O48" s="5" t="inlineStr">
        <is>
          <t>—</t>
        </is>
      </c>
      <c r="P48" s="5" t="inlineStr">
        <is>
          <t>—</t>
        </is>
      </c>
      <c r="Q48" s="5" t="inlineStr">
        <is>
          <t>—</t>
        </is>
      </c>
      <c r="R48" s="5" t="inlineStr">
        <is>
          <t>—</t>
        </is>
      </c>
      <c r="S48" s="5" t="inlineStr">
        <is>
          <t>—</t>
        </is>
      </c>
    </row>
    <row r="49">
      <c r="A49" s="5" t="inlineStr">
        <is>
          <t>スライム</t>
        </is>
      </c>
      <c r="B49" s="5" t="inlineStr">
        <is>
          <t>C</t>
        </is>
      </c>
      <c r="C49" s="5" t="n">
        <v>2</v>
      </c>
      <c r="D49" s="5" t="inlineStr">
        <is>
          <t>なし</t>
        </is>
      </c>
      <c r="E49" s="6" t="n">
        <v>32</v>
      </c>
      <c r="F49" s="6" t="n">
        <v>5</v>
      </c>
      <c r="G49" s="6" t="n">
        <v>9</v>
      </c>
      <c r="H49" s="7">
        <f>E49+'③ パラメータ'!B25*(5-1)</f>
        <v/>
      </c>
      <c r="I49" s="7">
        <f>F49+'③ パラメータ'!C25*(5-1)</f>
        <v/>
      </c>
      <c r="J49" s="7">
        <f>G49</f>
        <v/>
      </c>
      <c r="K49" s="7">
        <f>E49+'③ パラメータ'!B25*('③ パラメータ'!B32-1)</f>
        <v/>
      </c>
      <c r="L49" s="7">
        <f>F49+'③ パラメータ'!C25*('③ パラメータ'!B32-1)</f>
        <v/>
      </c>
      <c r="M49" s="7">
        <f>G49</f>
        <v/>
      </c>
      <c r="N49" s="5" t="inlineStr">
        <is>
          <t>—</t>
        </is>
      </c>
      <c r="O49" s="5" t="inlineStr">
        <is>
          <t>—</t>
        </is>
      </c>
      <c r="P49" s="5" t="inlineStr">
        <is>
          <t>—</t>
        </is>
      </c>
      <c r="Q49" s="5" t="inlineStr">
        <is>
          <t>—</t>
        </is>
      </c>
      <c r="R49" s="5" t="inlineStr">
        <is>
          <t>—</t>
        </is>
      </c>
      <c r="S49" s="5" t="inlineStr">
        <is>
          <t>—</t>
        </is>
      </c>
    </row>
    <row r="50">
      <c r="A50" s="5" t="inlineStr">
        <is>
          <t>ミミック</t>
        </is>
      </c>
      <c r="B50" s="5" t="inlineStr">
        <is>
          <t>C</t>
        </is>
      </c>
      <c r="C50" s="5" t="n">
        <v>2</v>
      </c>
      <c r="D50" s="5" t="inlineStr">
        <is>
          <t>なし</t>
        </is>
      </c>
      <c r="E50" s="6" t="n">
        <v>30</v>
      </c>
      <c r="F50" s="6" t="n">
        <v>5</v>
      </c>
      <c r="G50" s="6" t="n">
        <v>29</v>
      </c>
      <c r="H50" s="7">
        <f>E50+'③ パラメータ'!B25*(5-1)</f>
        <v/>
      </c>
      <c r="I50" s="7">
        <f>F50+'③ パラメータ'!C25*(5-1)</f>
        <v/>
      </c>
      <c r="J50" s="7">
        <f>G50</f>
        <v/>
      </c>
      <c r="K50" s="7">
        <f>E50+'③ パラメータ'!B25*('③ パラメータ'!B32-1)</f>
        <v/>
      </c>
      <c r="L50" s="7">
        <f>F50+'③ パラメータ'!C25*('③ パラメータ'!B32-1)</f>
        <v/>
      </c>
      <c r="M50" s="7">
        <f>G50</f>
        <v/>
      </c>
      <c r="N50" s="5" t="inlineStr">
        <is>
          <t>—</t>
        </is>
      </c>
      <c r="O50" s="5" t="inlineStr">
        <is>
          <t>—</t>
        </is>
      </c>
      <c r="P50" s="5" t="inlineStr">
        <is>
          <t>—</t>
        </is>
      </c>
      <c r="Q50" s="5" t="inlineStr">
        <is>
          <t>—</t>
        </is>
      </c>
      <c r="R50" s="5" t="inlineStr">
        <is>
          <t>—</t>
        </is>
      </c>
      <c r="S50" s="5" t="inlineStr">
        <is>
          <t>—</t>
        </is>
      </c>
    </row>
    <row r="51">
      <c r="A51" s="5" t="inlineStr">
        <is>
          <t>ウィスプ</t>
        </is>
      </c>
      <c r="B51" s="5" t="inlineStr">
        <is>
          <t>C</t>
        </is>
      </c>
      <c r="C51" s="5" t="n">
        <v>2</v>
      </c>
      <c r="D51" s="5" t="inlineStr">
        <is>
          <t>なし</t>
        </is>
      </c>
      <c r="E51" s="6" t="n">
        <v>27</v>
      </c>
      <c r="F51" s="6" t="n">
        <v>5</v>
      </c>
      <c r="G51" s="6" t="n">
        <v>95</v>
      </c>
      <c r="H51" s="7">
        <f>E51+'③ パラメータ'!B25*(5-1)</f>
        <v/>
      </c>
      <c r="I51" s="7">
        <f>F51+'③ パラメータ'!C25*(5-1)</f>
        <v/>
      </c>
      <c r="J51" s="7">
        <f>G51</f>
        <v/>
      </c>
      <c r="K51" s="7">
        <f>E51+'③ パラメータ'!B25*('③ パラメータ'!B32-1)</f>
        <v/>
      </c>
      <c r="L51" s="7">
        <f>F51+'③ パラメータ'!C25*('③ パラメータ'!B32-1)</f>
        <v/>
      </c>
      <c r="M51" s="7">
        <f>G51</f>
        <v/>
      </c>
      <c r="N51" s="5" t="inlineStr">
        <is>
          <t>—</t>
        </is>
      </c>
      <c r="O51" s="5" t="inlineStr">
        <is>
          <t>—</t>
        </is>
      </c>
      <c r="P51" s="5" t="inlineStr">
        <is>
          <t>—</t>
        </is>
      </c>
      <c r="Q51" s="5" t="inlineStr">
        <is>
          <t>—</t>
        </is>
      </c>
      <c r="R51" s="5" t="inlineStr">
        <is>
          <t>—</t>
        </is>
      </c>
      <c r="S51" s="5" t="inlineStr">
        <is>
          <t>—</t>
        </is>
      </c>
    </row>
    <row r="52">
      <c r="A52" s="5" t="inlineStr">
        <is>
          <t>フェアリー</t>
        </is>
      </c>
      <c r="B52" s="5" t="inlineStr">
        <is>
          <t>C</t>
        </is>
      </c>
      <c r="C52" s="5" t="n">
        <v>2</v>
      </c>
      <c r="D52" s="5" t="inlineStr">
        <is>
          <t>女性</t>
        </is>
      </c>
      <c r="E52" s="6" t="n">
        <v>28</v>
      </c>
      <c r="F52" s="6" t="n">
        <v>5</v>
      </c>
      <c r="G52" s="6" t="n">
        <v>74</v>
      </c>
      <c r="H52" s="7">
        <f>E52+'③ パラメータ'!B25*(5-1)</f>
        <v/>
      </c>
      <c r="I52" s="7">
        <f>F52+'③ パラメータ'!C25*(5-1)</f>
        <v/>
      </c>
      <c r="J52" s="7">
        <f>G52</f>
        <v/>
      </c>
      <c r="K52" s="7">
        <f>E52+'③ パラメータ'!B25*('③ パラメータ'!B32-1)</f>
        <v/>
      </c>
      <c r="L52" s="7">
        <f>F52+'③ パラメータ'!C25*('③ パラメータ'!B32-1)</f>
        <v/>
      </c>
      <c r="M52" s="7">
        <f>G52</f>
        <v/>
      </c>
      <c r="N52" s="5" t="inlineStr">
        <is>
          <t>—</t>
        </is>
      </c>
      <c r="O52" s="5" t="inlineStr">
        <is>
          <t>—</t>
        </is>
      </c>
      <c r="P52" s="5" t="inlineStr">
        <is>
          <t>—</t>
        </is>
      </c>
      <c r="Q52" s="5" t="inlineStr">
        <is>
          <t>—</t>
        </is>
      </c>
      <c r="R52" s="5" t="inlineStr">
        <is>
          <t>—</t>
        </is>
      </c>
      <c r="S52" s="5" t="inlineStr">
        <is>
          <t>—</t>
        </is>
      </c>
    </row>
    <row r="53">
      <c r="A53" s="5" t="inlineStr">
        <is>
          <t>カーバンクル</t>
        </is>
      </c>
      <c r="B53" s="5" t="inlineStr">
        <is>
          <t>C</t>
        </is>
      </c>
      <c r="C53" s="5" t="n">
        <v>2</v>
      </c>
      <c r="D53" s="5" t="inlineStr">
        <is>
          <t>なし</t>
        </is>
      </c>
      <c r="E53" s="6" t="n">
        <v>30</v>
      </c>
      <c r="F53" s="6" t="n">
        <v>5</v>
      </c>
      <c r="G53" s="6" t="n">
        <v>35</v>
      </c>
      <c r="H53" s="7">
        <f>E53+'③ パラメータ'!B25*(5-1)</f>
        <v/>
      </c>
      <c r="I53" s="7">
        <f>F53+'③ パラメータ'!C25*(5-1)</f>
        <v/>
      </c>
      <c r="J53" s="7">
        <f>G53</f>
        <v/>
      </c>
      <c r="K53" s="7">
        <f>E53+'③ パラメータ'!B25*('③ パラメータ'!B32-1)</f>
        <v/>
      </c>
      <c r="L53" s="7">
        <f>F53+'③ パラメータ'!C25*('③ パラメータ'!B32-1)</f>
        <v/>
      </c>
      <c r="M53" s="7">
        <f>G53</f>
        <v/>
      </c>
      <c r="N53" s="5" t="inlineStr">
        <is>
          <t>—</t>
        </is>
      </c>
      <c r="O53" s="5" t="inlineStr">
        <is>
          <t>—</t>
        </is>
      </c>
      <c r="P53" s="5" t="inlineStr">
        <is>
          <t>—</t>
        </is>
      </c>
      <c r="Q53" s="5" t="inlineStr">
        <is>
          <t>—</t>
        </is>
      </c>
      <c r="R53" s="5" t="inlineStr">
        <is>
          <t>—</t>
        </is>
      </c>
      <c r="S53" s="5" t="inlineStr">
        <is>
          <t>—</t>
        </is>
      </c>
    </row>
    <row r="54">
      <c r="A54" s="5" t="inlineStr">
        <is>
          <t>マンドラゴラ</t>
        </is>
      </c>
      <c r="B54" s="5" t="inlineStr">
        <is>
          <t>C</t>
        </is>
      </c>
      <c r="C54" s="5" t="n">
        <v>2</v>
      </c>
      <c r="D54" s="5" t="inlineStr">
        <is>
          <t>なし</t>
        </is>
      </c>
      <c r="E54" s="6" t="n">
        <v>36</v>
      </c>
      <c r="F54" s="6" t="n">
        <v>4</v>
      </c>
      <c r="G54" s="6" t="n">
        <v>7</v>
      </c>
      <c r="H54" s="7">
        <f>E54+'③ パラメータ'!B25*(5-1)</f>
        <v/>
      </c>
      <c r="I54" s="7">
        <f>F54+'③ パラメータ'!C25*(5-1)</f>
        <v/>
      </c>
      <c r="J54" s="7">
        <f>G54</f>
        <v/>
      </c>
      <c r="K54" s="7">
        <f>E54+'③ パラメータ'!B25*('③ パラメータ'!B32-1)</f>
        <v/>
      </c>
      <c r="L54" s="7">
        <f>F54+'③ パラメータ'!C25*('③ パラメータ'!B32-1)</f>
        <v/>
      </c>
      <c r="M54" s="7">
        <f>G54</f>
        <v/>
      </c>
      <c r="N54" s="5" t="inlineStr">
        <is>
          <t>—</t>
        </is>
      </c>
      <c r="O54" s="5" t="inlineStr">
        <is>
          <t>—</t>
        </is>
      </c>
      <c r="P54" s="5" t="inlineStr">
        <is>
          <t>—</t>
        </is>
      </c>
      <c r="Q54" s="5" t="inlineStr">
        <is>
          <t>—</t>
        </is>
      </c>
      <c r="R54" s="5" t="inlineStr">
        <is>
          <t>—</t>
        </is>
      </c>
      <c r="S54" s="5" t="inlineStr">
        <is>
          <t>—</t>
        </is>
      </c>
    </row>
  </sheetData>
  <autoFilter ref="A4:S54"/>
  <mergeCells count="2">
    <mergeCell ref="A2:S2"/>
    <mergeCell ref="A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2" customWidth="1" min="4" max="4"/>
    <col width="12" customWidth="1" min="5" max="5"/>
    <col width="54" customWidth="1" min="6" max="6"/>
  </cols>
  <sheetData>
    <row r="1" ht="22" customHeight="1">
      <c r="A1" s="1" t="inlineStr">
        <is>
          <t xml:space="preserve">  ③ パラメータ　— 黄色のセルを書き換えてください</t>
        </is>
      </c>
    </row>
    <row r="2">
      <c r="A2" s="3" t="inlineStr">
        <is>
          <t xml:space="preserve">　　使い魔ごとのLv1能力値は②使い魔一覧のE〜G列にあります。</t>
        </is>
      </c>
    </row>
    <row r="3">
      <c r="A3" s="9" t="inlineStr">
        <is>
          <t>■ 各ランクの使い魔の数</t>
        </is>
      </c>
    </row>
    <row r="4">
      <c r="A4" s="4" t="inlineStr">
        <is>
          <t>ランク</t>
        </is>
      </c>
      <c r="B4" s="4" t="inlineStr">
        <is>
          <t>体数</t>
        </is>
      </c>
      <c r="C4" s="4" t="inlineStr"/>
      <c r="D4" s="4" t="inlineStr"/>
      <c r="E4" s="4" t="inlineStr"/>
      <c r="F4" s="4" t="inlineStr">
        <is>
          <t>説明</t>
        </is>
      </c>
    </row>
    <row r="5">
      <c r="A5" s="5" t="inlineStr">
        <is>
          <t>Cランク</t>
        </is>
      </c>
      <c r="B5" s="6" t="n">
        <v>10</v>
      </c>
      <c r="F5" s="3" t="inlineStr">
        <is>
          <t>数を減らすと、同じ使い魔が出やすくなります（＝合成しやすい）</t>
        </is>
      </c>
    </row>
    <row r="6">
      <c r="A6" s="5" t="inlineStr">
        <is>
          <t>Bランク</t>
        </is>
      </c>
      <c r="B6" s="6" t="n">
        <v>20</v>
      </c>
    </row>
    <row r="7">
      <c r="A7" s="5" t="inlineStr">
        <is>
          <t>Aランク</t>
        </is>
      </c>
      <c r="B7" s="6" t="n">
        <v>15</v>
      </c>
    </row>
    <row r="8">
      <c r="A8" s="5" t="inlineStr">
        <is>
          <t>Sランク</t>
        </is>
      </c>
      <c r="B8" s="6" t="n">
        <v>5</v>
      </c>
    </row>
    <row r="9">
      <c r="A9" s="5" t="inlineStr">
        <is>
          <t>合計</t>
        </is>
      </c>
      <c r="B9" s="10">
        <f>SUM(B5:B8)</f>
        <v/>
      </c>
    </row>
    <row r="11">
      <c r="A11" s="9" t="inlineStr">
        <is>
          <t>■ ガチャの排出率（単発）</t>
        </is>
      </c>
    </row>
    <row r="12">
      <c r="A12" s="4" t="inlineStr">
        <is>
          <t>ランク</t>
        </is>
      </c>
      <c r="B12" s="4" t="inlineStr">
        <is>
          <t>排出率（%）</t>
        </is>
      </c>
      <c r="C12" s="4" t="inlineStr"/>
      <c r="D12" s="4" t="inlineStr"/>
      <c r="E12" s="4" t="inlineStr"/>
      <c r="F12" s="4" t="inlineStr">
        <is>
          <t>説明</t>
        </is>
      </c>
    </row>
    <row r="13">
      <c r="A13" s="5" t="inlineStr">
        <is>
          <t>Cランク</t>
        </is>
      </c>
      <c r="B13" s="11" t="n">
        <v>45</v>
      </c>
      <c r="F13" s="3" t="inlineStr">
        <is>
          <t>合計が100%になるようにしてください</t>
        </is>
      </c>
    </row>
    <row r="14">
      <c r="A14" s="5" t="inlineStr">
        <is>
          <t>Bランク</t>
        </is>
      </c>
      <c r="B14" s="11" t="n">
        <v>45</v>
      </c>
    </row>
    <row r="15">
      <c r="A15" s="5" t="inlineStr">
        <is>
          <t>Aランク</t>
        </is>
      </c>
      <c r="B15" s="11" t="n">
        <v>9</v>
      </c>
    </row>
    <row r="16">
      <c r="A16" s="5" t="inlineStr">
        <is>
          <t>Sランク</t>
        </is>
      </c>
      <c r="B16" s="11" t="n">
        <v>1</v>
      </c>
    </row>
    <row r="17">
      <c r="A17" s="5" t="inlineStr">
        <is>
          <t>合計（%）</t>
        </is>
      </c>
      <c r="B17" s="12">
        <f>SUM(B13:B16)</f>
        <v/>
      </c>
      <c r="F17" s="13">
        <f>IF(ROUND(B17,3)=100,"OK","★合計が100%ではありません")</f>
        <v/>
      </c>
    </row>
    <row r="19">
      <c r="A19" s="9" t="inlineStr">
        <is>
          <t>■ ガチャ費用</t>
        </is>
      </c>
    </row>
    <row r="20">
      <c r="A20" s="4" t="inlineStr">
        <is>
          <t>項目</t>
        </is>
      </c>
      <c r="B20" s="4" t="inlineStr">
        <is>
          <t>値（coin）</t>
        </is>
      </c>
      <c r="C20" s="4" t="inlineStr"/>
      <c r="D20" s="4" t="inlineStr"/>
      <c r="E20" s="4" t="inlineStr"/>
      <c r="F20" s="4" t="inlineStr">
        <is>
          <t>説明</t>
        </is>
      </c>
    </row>
    <row r="21">
      <c r="A21" s="5" t="inlineStr">
        <is>
          <t>単発の費用</t>
        </is>
      </c>
      <c r="B21" s="14" t="n">
        <v>30000</v>
      </c>
      <c r="F21" s="3" t="inlineStr">
        <is>
          <t>1回引くのにかかるcoin</t>
        </is>
      </c>
    </row>
    <row r="23">
      <c r="A23" s="9" t="inlineStr">
        <is>
          <t>■ 合成1回あたりの成長量（固定値）</t>
        </is>
      </c>
    </row>
    <row r="24">
      <c r="A24" s="4" t="inlineStr">
        <is>
          <t>ランク</t>
        </is>
      </c>
      <c r="B24" s="4" t="inlineStr">
        <is>
          <t>固定値 HP</t>
        </is>
      </c>
      <c r="C24" s="4" t="inlineStr">
        <is>
          <t>固定値 ATK</t>
        </is>
      </c>
      <c r="D24" s="4" t="inlineStr"/>
      <c r="E24" s="4" t="inlineStr"/>
      <c r="F24" s="4" t="inlineStr">
        <is>
          <t>説明</t>
        </is>
      </c>
    </row>
    <row r="25">
      <c r="A25" s="5" t="inlineStr">
        <is>
          <t>Cランク</t>
        </is>
      </c>
      <c r="B25" s="6" t="n">
        <v>0</v>
      </c>
      <c r="C25" s="6" t="n">
        <v>0</v>
      </c>
      <c r="F25" s="3" t="inlineStr">
        <is>
          <t>Lvn の能力値 ＝ Lv1の能力値 ＋ 固定値 ×（n − 1）</t>
        </is>
      </c>
    </row>
    <row r="26">
      <c r="A26" s="5" t="inlineStr">
        <is>
          <t>Bランク</t>
        </is>
      </c>
      <c r="B26" s="6" t="n">
        <v>1</v>
      </c>
      <c r="C26" s="6" t="n">
        <v>0</v>
      </c>
      <c r="F26" s="3" t="inlineStr">
        <is>
          <t>0にすると、そのランクは合成しても伸びません</t>
        </is>
      </c>
    </row>
    <row r="27">
      <c r="A27" s="5" t="inlineStr">
        <is>
          <t>Aランク</t>
        </is>
      </c>
      <c r="B27" s="6" t="n">
        <v>2</v>
      </c>
      <c r="C27" s="6" t="n">
        <v>1</v>
      </c>
      <c r="F27" s="3" t="inlineStr">
        <is>
          <t>SPDは成長しません（Lv1の値のまま）</t>
        </is>
      </c>
    </row>
    <row r="28">
      <c r="A28" s="5" t="inlineStr">
        <is>
          <t>Sランク</t>
        </is>
      </c>
      <c r="B28" s="6" t="n">
        <v>3</v>
      </c>
      <c r="C28" s="6" t="n">
        <v>1</v>
      </c>
    </row>
    <row r="30">
      <c r="A30" s="9" t="inlineStr">
        <is>
          <t>■ 成長の共通設定</t>
        </is>
      </c>
    </row>
    <row r="31">
      <c r="A31" s="4" t="inlineStr">
        <is>
          <t>項目</t>
        </is>
      </c>
      <c r="B31" s="4" t="inlineStr">
        <is>
          <t>値</t>
        </is>
      </c>
      <c r="C31" s="4" t="inlineStr"/>
      <c r="D31" s="4" t="inlineStr"/>
      <c r="E31" s="4" t="inlineStr"/>
      <c r="F31" s="4" t="inlineStr">
        <is>
          <t>説明</t>
        </is>
      </c>
    </row>
    <row r="32">
      <c r="A32" s="5" t="inlineStr">
        <is>
          <t>最大レベル</t>
        </is>
      </c>
      <c r="B32" s="6" t="n">
        <v>10</v>
      </c>
      <c r="F32" s="3" t="inlineStr">
        <is>
          <t>Lv1が最初です。下げると必要な体数が減ります</t>
        </is>
      </c>
    </row>
    <row r="33">
      <c r="A33" s="5" t="inlineStr">
        <is>
          <t>1レベルに必要な素材数</t>
        </is>
      </c>
      <c r="B33" s="6" t="n">
        <v>1</v>
      </c>
      <c r="F33" s="3" t="inlineStr">
        <is>
          <t>必要な体数 =（最大レベル−1）× この数 ＋ 1</t>
        </is>
      </c>
    </row>
    <row r="35">
      <c r="A35" s="9" t="inlineStr">
        <is>
          <t>■ 合成費用</t>
        </is>
      </c>
    </row>
    <row r="36">
      <c r="A36" s="4" t="inlineStr">
        <is>
          <t>項目</t>
        </is>
      </c>
      <c r="B36" s="4" t="inlineStr">
        <is>
          <t>値（%）</t>
        </is>
      </c>
      <c r="C36" s="4" t="inlineStr"/>
      <c r="D36" s="4" t="inlineStr"/>
      <c r="E36" s="4" t="inlineStr"/>
      <c r="F36" s="4" t="inlineStr">
        <is>
          <t>説明</t>
        </is>
      </c>
    </row>
    <row r="37">
      <c r="A37" s="5" t="inlineStr">
        <is>
          <t>素材1体あたり</t>
        </is>
      </c>
      <c r="B37" s="11" t="n">
        <v>50</v>
      </c>
      <c r="F37" s="3" t="inlineStr">
        <is>
          <t>売却額に対する割合。50なら売却額の半分。0にすると合成は無料</t>
        </is>
      </c>
    </row>
    <row r="39">
      <c r="A39" s="9" t="inlineStr">
        <is>
          <t>■ 売却額（Lv1）</t>
        </is>
      </c>
    </row>
    <row r="40">
      <c r="A40" s="4" t="inlineStr">
        <is>
          <t>ランク</t>
        </is>
      </c>
      <c r="B40" s="4" t="inlineStr">
        <is>
          <t>売却額（coin）</t>
        </is>
      </c>
      <c r="C40" s="4" t="inlineStr"/>
      <c r="D40" s="4" t="inlineStr"/>
      <c r="E40" s="4" t="inlineStr"/>
      <c r="F40" s="4" t="inlineStr">
        <is>
          <t>説明</t>
        </is>
      </c>
    </row>
    <row r="41">
      <c r="A41" s="5" t="inlineStr">
        <is>
          <t>Cランク</t>
        </is>
      </c>
      <c r="B41" s="14" t="n">
        <v>2000</v>
      </c>
      <c r="F41" s="3" t="inlineStr">
        <is>
          <t>合成費用もこの金額を基準に決まります</t>
        </is>
      </c>
    </row>
    <row r="42">
      <c r="A42" s="5" t="inlineStr">
        <is>
          <t>Bランク</t>
        </is>
      </c>
      <c r="B42" s="14" t="n">
        <v>5000</v>
      </c>
    </row>
    <row r="43">
      <c r="A43" s="5" t="inlineStr">
        <is>
          <t>Aランク</t>
        </is>
      </c>
      <c r="B43" s="14" t="n">
        <v>15000</v>
      </c>
    </row>
    <row r="44">
      <c r="A44" s="5" t="inlineStr">
        <is>
          <t>Sランク</t>
        </is>
      </c>
      <c r="B44" s="14" t="n">
        <v>50000</v>
      </c>
    </row>
    <row r="46">
      <c r="A46" s="9" t="inlineStr">
        <is>
          <t>■ バトルの枠（⑥デッキ試算が使います）</t>
        </is>
      </c>
    </row>
    <row r="47">
      <c r="A47" s="4" t="inlineStr">
        <is>
          <t>項目</t>
        </is>
      </c>
      <c r="B47" s="4" t="inlineStr">
        <is>
          <t>値</t>
        </is>
      </c>
      <c r="C47" s="4" t="inlineStr"/>
      <c r="D47" s="4" t="inlineStr"/>
      <c r="E47" s="4" t="inlineStr"/>
      <c r="F47" s="4" t="inlineStr">
        <is>
          <t>説明</t>
        </is>
      </c>
    </row>
    <row r="48">
      <c r="A48" s="5" t="inlineStr">
        <is>
          <t>合計COST上限</t>
        </is>
      </c>
      <c r="B48" s="6" t="n">
        <v>20</v>
      </c>
      <c r="F48" s="3" t="inlineStr">
        <is>
          <t>編成できる合計COST</t>
        </is>
      </c>
    </row>
    <row r="49">
      <c r="A49" s="5" t="inlineStr">
        <is>
          <t>出場できる体数</t>
        </is>
      </c>
      <c r="B49" s="6" t="n">
        <v>5</v>
      </c>
      <c r="F49" s="3" t="inlineStr">
        <is>
          <t>1ギルドが出せる使い魔の数</t>
        </is>
      </c>
    </row>
  </sheetData>
  <mergeCells count="10">
    <mergeCell ref="A2:F2"/>
    <mergeCell ref="A11:F11"/>
    <mergeCell ref="A46:F46"/>
    <mergeCell ref="A19:F19"/>
    <mergeCell ref="A1:F1"/>
    <mergeCell ref="A23:F23"/>
    <mergeCell ref="A35:F35"/>
    <mergeCell ref="A3:F3"/>
    <mergeCell ref="A30:F30"/>
    <mergeCell ref="A39:F3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20" customWidth="1" min="3" max="3"/>
    <col width="20" customWidth="1" min="4" max="4"/>
    <col width="22" customWidth="1" min="5" max="5"/>
    <col width="18" customWidth="1" min="6" max="6"/>
    <col width="18" customWidth="1" min="7" max="7"/>
    <col width="40" customWidth="1" min="8" max="8"/>
  </cols>
  <sheetData>
    <row r="1" ht="22" customHeight="1">
      <c r="A1" s="1" t="inlineStr">
        <is>
          <t xml:space="preserve">  ④ ガチャ試算　— 単発だけで計算しています</t>
        </is>
      </c>
    </row>
    <row r="2">
      <c r="A2" s="3" t="inlineStr">
        <is>
          <t xml:space="preserve">　　③パラメータを変えると自動で変わります。10連・保証枠は考慮していません。</t>
        </is>
      </c>
    </row>
    <row r="4">
      <c r="A4" s="9" t="inlineStr">
        <is>
          <t>■ 最大レベルに必要な体数</t>
        </is>
      </c>
    </row>
    <row r="5">
      <c r="A5" s="5" t="inlineStr">
        <is>
          <t>必要な体数</t>
        </is>
      </c>
      <c r="B5" s="7">
        <f>('③ パラメータ'!B32-1)*'③ パラメータ'!B33+1</f>
        <v/>
      </c>
      <c r="H5" s="3" t="inlineStr">
        <is>
          <t>（最大レベル−1）× 1レベルの素材数 ＋ 本体1体</t>
        </is>
      </c>
    </row>
    <row r="7">
      <c r="A7" s="9" t="inlineStr">
        <is>
          <t>■ Lv1から最大レベルにするまで</t>
        </is>
      </c>
    </row>
    <row r="8">
      <c r="A8" s="4" t="inlineStr">
        <is>
          <t>ランク</t>
        </is>
      </c>
      <c r="B8" s="4" t="inlineStr">
        <is>
          <t>使い魔の数</t>
        </is>
      </c>
      <c r="C8" s="4" t="inlineStr">
        <is>
          <t>特定1体が出る確率（%）</t>
        </is>
      </c>
      <c r="D8" s="4" t="inlineStr">
        <is>
          <t>1体そろえる単発回数</t>
        </is>
      </c>
      <c r="E8" s="4" t="inlineStr">
        <is>
          <t>最大Lvに必要な単発回数</t>
        </is>
      </c>
      <c r="F8" s="4" t="inlineStr">
        <is>
          <t>ガチャ費用（coin）</t>
        </is>
      </c>
      <c r="G8" s="4" t="inlineStr">
        <is>
          <t>合成費用（coin）</t>
        </is>
      </c>
      <c r="H8" s="4" t="inlineStr">
        <is>
          <t>合計（coin）</t>
        </is>
      </c>
    </row>
    <row r="9">
      <c r="A9" s="5" t="inlineStr">
        <is>
          <t>Cランク</t>
        </is>
      </c>
      <c r="B9" s="10">
        <f>'③ パラメータ'!B5</f>
        <v/>
      </c>
      <c r="C9" s="15">
        <f>IF('③ パラメータ'!B5=0,0,'③ パラメータ'!B13/'③ パラメータ'!B5)</f>
        <v/>
      </c>
      <c r="D9" s="16">
        <f>IF(C9=0,"—",100/C9)</f>
        <v/>
      </c>
      <c r="E9" s="16">
        <f>IF(C9=0,"—",$B$5*100/C9)</f>
        <v/>
      </c>
      <c r="F9" s="16">
        <f>IF(C9=0,"—",E9*'③ パラメータ'!B21)</f>
        <v/>
      </c>
      <c r="G9" s="16">
        <f>($B$5-1)*'③ パラメータ'!B41*'③ パラメータ'!B37/100</f>
        <v/>
      </c>
      <c r="H9" s="16">
        <f>IF(C9=0,"—",F9+G9)</f>
        <v/>
      </c>
    </row>
    <row r="10">
      <c r="A10" s="5" t="inlineStr">
        <is>
          <t>Bランク</t>
        </is>
      </c>
      <c r="B10" s="10">
        <f>'③ パラメータ'!B6</f>
        <v/>
      </c>
      <c r="C10" s="15">
        <f>IF('③ パラメータ'!B6=0,0,'③ パラメータ'!B14/'③ パラメータ'!B6)</f>
        <v/>
      </c>
      <c r="D10" s="16">
        <f>IF(C10=0,"—",100/C10)</f>
        <v/>
      </c>
      <c r="E10" s="16">
        <f>IF(C10=0,"—",$B$5*100/C10)</f>
        <v/>
      </c>
      <c r="F10" s="16">
        <f>IF(C10=0,"—",E10*'③ パラメータ'!B21)</f>
        <v/>
      </c>
      <c r="G10" s="16">
        <f>($B$5-1)*'③ パラメータ'!B42*'③ パラメータ'!B37/100</f>
        <v/>
      </c>
      <c r="H10" s="16">
        <f>IF(C10=0,"—",F10+G10)</f>
        <v/>
      </c>
    </row>
    <row r="11">
      <c r="A11" s="5" t="inlineStr">
        <is>
          <t>Aランク</t>
        </is>
      </c>
      <c r="B11" s="10">
        <f>'③ パラメータ'!B7</f>
        <v/>
      </c>
      <c r="C11" s="15">
        <f>IF('③ パラメータ'!B7=0,0,'③ パラメータ'!B15/'③ パラメータ'!B7)</f>
        <v/>
      </c>
      <c r="D11" s="16">
        <f>IF(C11=0,"—",100/C11)</f>
        <v/>
      </c>
      <c r="E11" s="16">
        <f>IF(C11=0,"—",$B$5*100/C11)</f>
        <v/>
      </c>
      <c r="F11" s="16">
        <f>IF(C11=0,"—",E11*'③ パラメータ'!B21)</f>
        <v/>
      </c>
      <c r="G11" s="16">
        <f>($B$5-1)*'③ パラメータ'!B43*'③ パラメータ'!B37/100</f>
        <v/>
      </c>
      <c r="H11" s="16">
        <f>IF(C11=0,"—",F11+G11)</f>
        <v/>
      </c>
    </row>
    <row r="12">
      <c r="A12" s="5" t="inlineStr">
        <is>
          <t>Sランク</t>
        </is>
      </c>
      <c r="B12" s="10">
        <f>'③ パラメータ'!B8</f>
        <v/>
      </c>
      <c r="C12" s="15">
        <f>IF('③ パラメータ'!B8=0,0,'③ パラメータ'!B16/'③ パラメータ'!B8)</f>
        <v/>
      </c>
      <c r="D12" s="16">
        <f>IF(C12=0,"—",100/C12)</f>
        <v/>
      </c>
      <c r="E12" s="16">
        <f>IF(C12=0,"—",$B$5*100/C12)</f>
        <v/>
      </c>
      <c r="F12" s="16">
        <f>IF(C12=0,"—",E12*'③ パラメータ'!B21)</f>
        <v/>
      </c>
      <c r="G12" s="16">
        <f>($B$5-1)*'③ パラメータ'!B44*'③ パラメータ'!B37/100</f>
        <v/>
      </c>
      <c r="H12" s="16">
        <f>IF(C12=0,"—",F12+G12)</f>
        <v/>
      </c>
    </row>
    <row r="14">
      <c r="A14" s="9" t="inlineStr">
        <is>
          <t>■ 参考：1体だけ引きたい場合</t>
        </is>
      </c>
    </row>
    <row r="15">
      <c r="A15" s="4" t="inlineStr">
        <is>
          <t>ランク</t>
        </is>
      </c>
      <c r="B15" s="4" t="inlineStr">
        <is>
          <t>そのランクが出る確率（%）</t>
        </is>
      </c>
      <c r="C15" s="4" t="inlineStr">
        <is>
          <t>1体出るまでの単発回数</t>
        </is>
      </c>
      <c r="D15" s="4" t="inlineStr">
        <is>
          <t>そのぶんのcoin</t>
        </is>
      </c>
      <c r="E15" s="4" t="inlineStr"/>
      <c r="F15" s="4" t="inlineStr"/>
      <c r="G15" s="4" t="inlineStr"/>
      <c r="H15" s="4" t="inlineStr"/>
    </row>
    <row r="16">
      <c r="A16" s="5" t="inlineStr">
        <is>
          <t>Cランク</t>
        </is>
      </c>
      <c r="B16" s="12">
        <f>'③ パラメータ'!B13</f>
        <v/>
      </c>
      <c r="C16" s="16">
        <f>IF('③ パラメータ'!B13=0,"—",100/'③ パラメータ'!B13)</f>
        <v/>
      </c>
      <c r="D16" s="16">
        <f>IF('③ パラメータ'!B13=0,"—",C16*'③ パラメータ'!B21)</f>
        <v/>
      </c>
    </row>
    <row r="17">
      <c r="A17" s="5" t="inlineStr">
        <is>
          <t>Bランク</t>
        </is>
      </c>
      <c r="B17" s="12">
        <f>'③ パラメータ'!B14</f>
        <v/>
      </c>
      <c r="C17" s="16">
        <f>IF('③ パラメータ'!B14=0,"—",100/'③ パラメータ'!B14)</f>
        <v/>
      </c>
      <c r="D17" s="16">
        <f>IF('③ パラメータ'!B14=0,"—",C17*'③ パラメータ'!B21)</f>
        <v/>
      </c>
    </row>
    <row r="18">
      <c r="A18" s="5" t="inlineStr">
        <is>
          <t>Aランク</t>
        </is>
      </c>
      <c r="B18" s="12">
        <f>'③ パラメータ'!B15</f>
        <v/>
      </c>
      <c r="C18" s="16">
        <f>IF('③ パラメータ'!B15=0,"—",100/'③ パラメータ'!B15)</f>
        <v/>
      </c>
      <c r="D18" s="16">
        <f>IF('③ パラメータ'!B15=0,"—",C18*'③ パラメータ'!B21)</f>
        <v/>
      </c>
    </row>
    <row r="19">
      <c r="A19" s="5" t="inlineStr">
        <is>
          <t>Sランク</t>
        </is>
      </c>
      <c r="B19" s="12">
        <f>'③ パラメータ'!B16</f>
        <v/>
      </c>
      <c r="C19" s="16">
        <f>IF('③ パラメータ'!B16=0,"—",100/'③ パラメータ'!B16)</f>
        <v/>
      </c>
      <c r="D19" s="16">
        <f>IF('③ パラメータ'!B16=0,"—",C19*'③ パラメータ'!B21)</f>
        <v/>
      </c>
    </row>
  </sheetData>
  <mergeCells count="5">
    <mergeCell ref="A4:H4"/>
    <mergeCell ref="A7:H7"/>
    <mergeCell ref="A2:H2"/>
    <mergeCell ref="A14:H14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5" customWidth="1" min="13" max="13"/>
  </cols>
  <sheetData>
    <row r="1" ht="22" customHeight="1">
      <c r="A1" s="1" t="inlineStr">
        <is>
          <t xml:space="preserve">  ⑤ 成長試算　— ランクごとの平均能力値を Lv1〜Lv10 で並べたもの</t>
        </is>
      </c>
    </row>
    <row r="2">
      <c r="A2" s="3" t="inlineStr">
        <is>
          <t xml:space="preserve">　　Lv1は②使い魔一覧の平均です。②やLv③の成長量を変えると全部動きます。</t>
        </is>
      </c>
    </row>
    <row r="3">
      <c r="A3" s="3" t="inlineStr">
        <is>
          <t xml:space="preserve">　　Lvn ＝ Lv1 ＋ 固定値 ×（n − 1）。SPDは成長しません。</t>
        </is>
      </c>
    </row>
    <row r="4">
      <c r="A4" s="4" t="inlineStr">
        <is>
          <t>ランク</t>
        </is>
      </c>
      <c r="B4" s="4" t="inlineStr">
        <is>
          <t>項目</t>
        </is>
      </c>
      <c r="C4" s="4" t="inlineStr">
        <is>
          <t>Lv1</t>
        </is>
      </c>
      <c r="D4" s="4" t="inlineStr">
        <is>
          <t>Lv2</t>
        </is>
      </c>
      <c r="E4" s="4" t="inlineStr">
        <is>
          <t>Lv3</t>
        </is>
      </c>
      <c r="F4" s="4" t="inlineStr">
        <is>
          <t>Lv4</t>
        </is>
      </c>
      <c r="G4" s="4" t="inlineStr">
        <is>
          <t>Lv5</t>
        </is>
      </c>
      <c r="H4" s="4" t="inlineStr">
        <is>
          <t>Lv6</t>
        </is>
      </c>
      <c r="I4" s="4" t="inlineStr">
        <is>
          <t>Lv7</t>
        </is>
      </c>
      <c r="J4" s="4" t="inlineStr">
        <is>
          <t>Lv8</t>
        </is>
      </c>
      <c r="K4" s="4" t="inlineStr">
        <is>
          <t>Lv9</t>
        </is>
      </c>
      <c r="L4" s="4" t="inlineStr">
        <is>
          <t>Lv10</t>
        </is>
      </c>
      <c r="M4" s="4" t="inlineStr">
        <is>
          <t>Lv1→Lv10（倍）</t>
        </is>
      </c>
    </row>
    <row r="5">
      <c r="A5" s="5" t="inlineStr">
        <is>
          <t>Cランク</t>
        </is>
      </c>
      <c r="B5" s="5" t="inlineStr">
        <is>
          <t>HP</t>
        </is>
      </c>
      <c r="C5" s="12">
        <f>AVERAGEIF('② 使い魔一覧'!$B$5:$B$54,"C",'② 使い魔一覧'!$E$5:$E$54)</f>
        <v/>
      </c>
      <c r="D5" s="12">
        <f>IF(2&gt;'③ パラメータ'!B32,"—",$C5+'③ パラメータ'!B25*(2-1))</f>
        <v/>
      </c>
      <c r="E5" s="12">
        <f>IF(3&gt;'③ パラメータ'!B32,"—",$C5+'③ パラメータ'!B25*(3-1))</f>
        <v/>
      </c>
      <c r="F5" s="12">
        <f>IF(4&gt;'③ パラメータ'!B32,"—",$C5+'③ パラメータ'!B25*(4-1))</f>
        <v/>
      </c>
      <c r="G5" s="12">
        <f>IF(5&gt;'③ パラメータ'!B32,"—",$C5+'③ パラメータ'!B25*(5-1))</f>
        <v/>
      </c>
      <c r="H5" s="12">
        <f>IF(6&gt;'③ パラメータ'!B32,"—",$C5+'③ パラメータ'!B25*(6-1))</f>
        <v/>
      </c>
      <c r="I5" s="12">
        <f>IF(7&gt;'③ パラメータ'!B32,"—",$C5+'③ パラメータ'!B25*(7-1))</f>
        <v/>
      </c>
      <c r="J5" s="12">
        <f>IF(8&gt;'③ パラメータ'!B32,"—",$C5+'③ パラメータ'!B25*(8-1))</f>
        <v/>
      </c>
      <c r="K5" s="12">
        <f>IF(9&gt;'③ パラメータ'!B32,"—",$C5+'③ パラメータ'!B25*(9-1))</f>
        <v/>
      </c>
      <c r="L5" s="12">
        <f>IF(10&gt;'③ パラメータ'!B32,"—",$C5+'③ パラメータ'!B25*(10-1))</f>
        <v/>
      </c>
      <c r="M5" s="17">
        <f>IF(L5="—","—",L5/C5)</f>
        <v/>
      </c>
    </row>
    <row r="6">
      <c r="A6" s="5" t="inlineStr"/>
      <c r="B6" s="5" t="inlineStr">
        <is>
          <t>ATK</t>
        </is>
      </c>
      <c r="C6" s="12">
        <f>AVERAGEIF('② 使い魔一覧'!$B$5:$B$54,"C",'② 使い魔一覧'!$F$5:$F$54)</f>
        <v/>
      </c>
      <c r="D6" s="12">
        <f>IF(2&gt;'③ パラメータ'!B32,"—",$C6+'③ パラメータ'!C25*(2-1))</f>
        <v/>
      </c>
      <c r="E6" s="12">
        <f>IF(3&gt;'③ パラメータ'!B32,"—",$C6+'③ パラメータ'!C25*(3-1))</f>
        <v/>
      </c>
      <c r="F6" s="12">
        <f>IF(4&gt;'③ パラメータ'!B32,"—",$C6+'③ パラメータ'!C25*(4-1))</f>
        <v/>
      </c>
      <c r="G6" s="12">
        <f>IF(5&gt;'③ パラメータ'!B32,"—",$C6+'③ パラメータ'!C25*(5-1))</f>
        <v/>
      </c>
      <c r="H6" s="12">
        <f>IF(6&gt;'③ パラメータ'!B32,"—",$C6+'③ パラメータ'!C25*(6-1))</f>
        <v/>
      </c>
      <c r="I6" s="12">
        <f>IF(7&gt;'③ パラメータ'!B32,"—",$C6+'③ パラメータ'!C25*(7-1))</f>
        <v/>
      </c>
      <c r="J6" s="12">
        <f>IF(8&gt;'③ パラメータ'!B32,"—",$C6+'③ パラメータ'!C25*(8-1))</f>
        <v/>
      </c>
      <c r="K6" s="12">
        <f>IF(9&gt;'③ パラメータ'!B32,"—",$C6+'③ パラメータ'!C25*(9-1))</f>
        <v/>
      </c>
      <c r="L6" s="12">
        <f>IF(10&gt;'③ パラメータ'!B32,"—",$C6+'③ パラメータ'!C25*(10-1))</f>
        <v/>
      </c>
      <c r="M6" s="17">
        <f>IF(L6="—","—",L6/C6)</f>
        <v/>
      </c>
    </row>
    <row r="7">
      <c r="A7" s="5" t="inlineStr"/>
      <c r="B7" s="5" t="inlineStr">
        <is>
          <t>SPD</t>
        </is>
      </c>
      <c r="C7" s="12">
        <f>AVERAGEIF('② 使い魔一覧'!$B$5:$B$54,"C",'② 使い魔一覧'!$G$5:$G$54)</f>
        <v/>
      </c>
      <c r="D7" s="7">
        <f>IF(2&gt;'③ パラメータ'!B32,"—",$C7)</f>
        <v/>
      </c>
      <c r="E7" s="7">
        <f>IF(3&gt;'③ パラメータ'!B32,"—",$C7)</f>
        <v/>
      </c>
      <c r="F7" s="7">
        <f>IF(4&gt;'③ パラメータ'!B32,"—",$C7)</f>
        <v/>
      </c>
      <c r="G7" s="7">
        <f>IF(5&gt;'③ パラメータ'!B32,"—",$C7)</f>
        <v/>
      </c>
      <c r="H7" s="7">
        <f>IF(6&gt;'③ パラメータ'!B32,"—",$C7)</f>
        <v/>
      </c>
      <c r="I7" s="7">
        <f>IF(7&gt;'③ パラメータ'!B32,"—",$C7)</f>
        <v/>
      </c>
      <c r="J7" s="7">
        <f>IF(8&gt;'③ パラメータ'!B32,"—",$C7)</f>
        <v/>
      </c>
      <c r="K7" s="7">
        <f>IF(9&gt;'③ パラメータ'!B32,"—",$C7)</f>
        <v/>
      </c>
      <c r="L7" s="7">
        <f>IF(10&gt;'③ パラメータ'!B32,"—",$C7)</f>
        <v/>
      </c>
      <c r="M7" s="17">
        <f>IF(L7="—","—",L7/C7)</f>
        <v/>
      </c>
    </row>
    <row r="8">
      <c r="A8" s="5" t="inlineStr">
        <is>
          <t>Bランク</t>
        </is>
      </c>
      <c r="B8" s="5" t="inlineStr">
        <is>
          <t>HP</t>
        </is>
      </c>
      <c r="C8" s="12">
        <f>AVERAGEIF('② 使い魔一覧'!$B$5:$B$54,"B",'② 使い魔一覧'!$E$5:$E$54)</f>
        <v/>
      </c>
      <c r="D8" s="12">
        <f>IF(2&gt;'③ パラメータ'!B32,"—",$C8+'③ パラメータ'!B26*(2-1))</f>
        <v/>
      </c>
      <c r="E8" s="12">
        <f>IF(3&gt;'③ パラメータ'!B32,"—",$C8+'③ パラメータ'!B26*(3-1))</f>
        <v/>
      </c>
      <c r="F8" s="12">
        <f>IF(4&gt;'③ パラメータ'!B32,"—",$C8+'③ パラメータ'!B26*(4-1))</f>
        <v/>
      </c>
      <c r="G8" s="12">
        <f>IF(5&gt;'③ パラメータ'!B32,"—",$C8+'③ パラメータ'!B26*(5-1))</f>
        <v/>
      </c>
      <c r="H8" s="12">
        <f>IF(6&gt;'③ パラメータ'!B32,"—",$C8+'③ パラメータ'!B26*(6-1))</f>
        <v/>
      </c>
      <c r="I8" s="12">
        <f>IF(7&gt;'③ パラメータ'!B32,"—",$C8+'③ パラメータ'!B26*(7-1))</f>
        <v/>
      </c>
      <c r="J8" s="12">
        <f>IF(8&gt;'③ パラメータ'!B32,"—",$C8+'③ パラメータ'!B26*(8-1))</f>
        <v/>
      </c>
      <c r="K8" s="12">
        <f>IF(9&gt;'③ パラメータ'!B32,"—",$C8+'③ パラメータ'!B26*(9-1))</f>
        <v/>
      </c>
      <c r="L8" s="12">
        <f>IF(10&gt;'③ パラメータ'!B32,"—",$C8+'③ パラメータ'!B26*(10-1))</f>
        <v/>
      </c>
      <c r="M8" s="17">
        <f>IF(L8="—","—",L8/C8)</f>
        <v/>
      </c>
    </row>
    <row r="9">
      <c r="A9" s="5" t="inlineStr"/>
      <c r="B9" s="5" t="inlineStr">
        <is>
          <t>ATK</t>
        </is>
      </c>
      <c r="C9" s="12">
        <f>AVERAGEIF('② 使い魔一覧'!$B$5:$B$54,"B",'② 使い魔一覧'!$F$5:$F$54)</f>
        <v/>
      </c>
      <c r="D9" s="12">
        <f>IF(2&gt;'③ パラメータ'!B32,"—",$C9+'③ パラメータ'!C26*(2-1))</f>
        <v/>
      </c>
      <c r="E9" s="12">
        <f>IF(3&gt;'③ パラメータ'!B32,"—",$C9+'③ パラメータ'!C26*(3-1))</f>
        <v/>
      </c>
      <c r="F9" s="12">
        <f>IF(4&gt;'③ パラメータ'!B32,"—",$C9+'③ パラメータ'!C26*(4-1))</f>
        <v/>
      </c>
      <c r="G9" s="12">
        <f>IF(5&gt;'③ パラメータ'!B32,"—",$C9+'③ パラメータ'!C26*(5-1))</f>
        <v/>
      </c>
      <c r="H9" s="12">
        <f>IF(6&gt;'③ パラメータ'!B32,"—",$C9+'③ パラメータ'!C26*(6-1))</f>
        <v/>
      </c>
      <c r="I9" s="12">
        <f>IF(7&gt;'③ パラメータ'!B32,"—",$C9+'③ パラメータ'!C26*(7-1))</f>
        <v/>
      </c>
      <c r="J9" s="12">
        <f>IF(8&gt;'③ パラメータ'!B32,"—",$C9+'③ パラメータ'!C26*(8-1))</f>
        <v/>
      </c>
      <c r="K9" s="12">
        <f>IF(9&gt;'③ パラメータ'!B32,"—",$C9+'③ パラメータ'!C26*(9-1))</f>
        <v/>
      </c>
      <c r="L9" s="12">
        <f>IF(10&gt;'③ パラメータ'!B32,"—",$C9+'③ パラメータ'!C26*(10-1))</f>
        <v/>
      </c>
      <c r="M9" s="17">
        <f>IF(L9="—","—",L9/C9)</f>
        <v/>
      </c>
    </row>
    <row r="10">
      <c r="A10" s="5" t="inlineStr"/>
      <c r="B10" s="5" t="inlineStr">
        <is>
          <t>SPD</t>
        </is>
      </c>
      <c r="C10" s="12">
        <f>AVERAGEIF('② 使い魔一覧'!$B$5:$B$54,"B",'② 使い魔一覧'!$G$5:$G$54)</f>
        <v/>
      </c>
      <c r="D10" s="7">
        <f>IF(2&gt;'③ パラメータ'!B32,"—",$C10)</f>
        <v/>
      </c>
      <c r="E10" s="7">
        <f>IF(3&gt;'③ パラメータ'!B32,"—",$C10)</f>
        <v/>
      </c>
      <c r="F10" s="7">
        <f>IF(4&gt;'③ パラメータ'!B32,"—",$C10)</f>
        <v/>
      </c>
      <c r="G10" s="7">
        <f>IF(5&gt;'③ パラメータ'!B32,"—",$C10)</f>
        <v/>
      </c>
      <c r="H10" s="7">
        <f>IF(6&gt;'③ パラメータ'!B32,"—",$C10)</f>
        <v/>
      </c>
      <c r="I10" s="7">
        <f>IF(7&gt;'③ パラメータ'!B32,"—",$C10)</f>
        <v/>
      </c>
      <c r="J10" s="7">
        <f>IF(8&gt;'③ パラメータ'!B32,"—",$C10)</f>
        <v/>
      </c>
      <c r="K10" s="7">
        <f>IF(9&gt;'③ パラメータ'!B32,"—",$C10)</f>
        <v/>
      </c>
      <c r="L10" s="7">
        <f>IF(10&gt;'③ パラメータ'!B32,"—",$C10)</f>
        <v/>
      </c>
      <c r="M10" s="17">
        <f>IF(L10="—","—",L10/C10)</f>
        <v/>
      </c>
    </row>
    <row r="11">
      <c r="A11" s="5" t="inlineStr">
        <is>
          <t>Aランク</t>
        </is>
      </c>
      <c r="B11" s="5" t="inlineStr">
        <is>
          <t>HP</t>
        </is>
      </c>
      <c r="C11" s="12">
        <f>AVERAGEIF('② 使い魔一覧'!$B$5:$B$54,"A",'② 使い魔一覧'!$E$5:$E$54)</f>
        <v/>
      </c>
      <c r="D11" s="12">
        <f>IF(2&gt;'③ パラメータ'!B32,"—",$C11+'③ パラメータ'!B27*(2-1))</f>
        <v/>
      </c>
      <c r="E11" s="12">
        <f>IF(3&gt;'③ パラメータ'!B32,"—",$C11+'③ パラメータ'!B27*(3-1))</f>
        <v/>
      </c>
      <c r="F11" s="12">
        <f>IF(4&gt;'③ パラメータ'!B32,"—",$C11+'③ パラメータ'!B27*(4-1))</f>
        <v/>
      </c>
      <c r="G11" s="12">
        <f>IF(5&gt;'③ パラメータ'!B32,"—",$C11+'③ パラメータ'!B27*(5-1))</f>
        <v/>
      </c>
      <c r="H11" s="12">
        <f>IF(6&gt;'③ パラメータ'!B32,"—",$C11+'③ パラメータ'!B27*(6-1))</f>
        <v/>
      </c>
      <c r="I11" s="12">
        <f>IF(7&gt;'③ パラメータ'!B32,"—",$C11+'③ パラメータ'!B27*(7-1))</f>
        <v/>
      </c>
      <c r="J11" s="12">
        <f>IF(8&gt;'③ パラメータ'!B32,"—",$C11+'③ パラメータ'!B27*(8-1))</f>
        <v/>
      </c>
      <c r="K11" s="12">
        <f>IF(9&gt;'③ パラメータ'!B32,"—",$C11+'③ パラメータ'!B27*(9-1))</f>
        <v/>
      </c>
      <c r="L11" s="12">
        <f>IF(10&gt;'③ パラメータ'!B32,"—",$C11+'③ パラメータ'!B27*(10-1))</f>
        <v/>
      </c>
      <c r="M11" s="17">
        <f>IF(L11="—","—",L11/C11)</f>
        <v/>
      </c>
    </row>
    <row r="12">
      <c r="A12" s="5" t="inlineStr"/>
      <c r="B12" s="5" t="inlineStr">
        <is>
          <t>ATK</t>
        </is>
      </c>
      <c r="C12" s="12">
        <f>AVERAGEIF('② 使い魔一覧'!$B$5:$B$54,"A",'② 使い魔一覧'!$F$5:$F$54)</f>
        <v/>
      </c>
      <c r="D12" s="12">
        <f>IF(2&gt;'③ パラメータ'!B32,"—",$C12+'③ パラメータ'!C27*(2-1))</f>
        <v/>
      </c>
      <c r="E12" s="12">
        <f>IF(3&gt;'③ パラメータ'!B32,"—",$C12+'③ パラメータ'!C27*(3-1))</f>
        <v/>
      </c>
      <c r="F12" s="12">
        <f>IF(4&gt;'③ パラメータ'!B32,"—",$C12+'③ パラメータ'!C27*(4-1))</f>
        <v/>
      </c>
      <c r="G12" s="12">
        <f>IF(5&gt;'③ パラメータ'!B32,"—",$C12+'③ パラメータ'!C27*(5-1))</f>
        <v/>
      </c>
      <c r="H12" s="12">
        <f>IF(6&gt;'③ パラメータ'!B32,"—",$C12+'③ パラメータ'!C27*(6-1))</f>
        <v/>
      </c>
      <c r="I12" s="12">
        <f>IF(7&gt;'③ パラメータ'!B32,"—",$C12+'③ パラメータ'!C27*(7-1))</f>
        <v/>
      </c>
      <c r="J12" s="12">
        <f>IF(8&gt;'③ パラメータ'!B32,"—",$C12+'③ パラメータ'!C27*(8-1))</f>
        <v/>
      </c>
      <c r="K12" s="12">
        <f>IF(9&gt;'③ パラメータ'!B32,"—",$C12+'③ パラメータ'!C27*(9-1))</f>
        <v/>
      </c>
      <c r="L12" s="12">
        <f>IF(10&gt;'③ パラメータ'!B32,"—",$C12+'③ パラメータ'!C27*(10-1))</f>
        <v/>
      </c>
      <c r="M12" s="17">
        <f>IF(L12="—","—",L12/C12)</f>
        <v/>
      </c>
    </row>
    <row r="13">
      <c r="A13" s="5" t="inlineStr"/>
      <c r="B13" s="5" t="inlineStr">
        <is>
          <t>SPD</t>
        </is>
      </c>
      <c r="C13" s="12">
        <f>AVERAGEIF('② 使い魔一覧'!$B$5:$B$54,"A",'② 使い魔一覧'!$G$5:$G$54)</f>
        <v/>
      </c>
      <c r="D13" s="7">
        <f>IF(2&gt;'③ パラメータ'!B32,"—",$C13)</f>
        <v/>
      </c>
      <c r="E13" s="7">
        <f>IF(3&gt;'③ パラメータ'!B32,"—",$C13)</f>
        <v/>
      </c>
      <c r="F13" s="7">
        <f>IF(4&gt;'③ パラメータ'!B32,"—",$C13)</f>
        <v/>
      </c>
      <c r="G13" s="7">
        <f>IF(5&gt;'③ パラメータ'!B32,"—",$C13)</f>
        <v/>
      </c>
      <c r="H13" s="7">
        <f>IF(6&gt;'③ パラメータ'!B32,"—",$C13)</f>
        <v/>
      </c>
      <c r="I13" s="7">
        <f>IF(7&gt;'③ パラメータ'!B32,"—",$C13)</f>
        <v/>
      </c>
      <c r="J13" s="7">
        <f>IF(8&gt;'③ パラメータ'!B32,"—",$C13)</f>
        <v/>
      </c>
      <c r="K13" s="7">
        <f>IF(9&gt;'③ パラメータ'!B32,"—",$C13)</f>
        <v/>
      </c>
      <c r="L13" s="7">
        <f>IF(10&gt;'③ パラメータ'!B32,"—",$C13)</f>
        <v/>
      </c>
      <c r="M13" s="17">
        <f>IF(L13="—","—",L13/C13)</f>
        <v/>
      </c>
    </row>
    <row r="14">
      <c r="A14" s="5" t="inlineStr">
        <is>
          <t>Sランク</t>
        </is>
      </c>
      <c r="B14" s="5" t="inlineStr">
        <is>
          <t>HP</t>
        </is>
      </c>
      <c r="C14" s="12">
        <f>AVERAGEIF('② 使い魔一覧'!$B$5:$B$54,"S",'② 使い魔一覧'!$E$5:$E$54)</f>
        <v/>
      </c>
      <c r="D14" s="12">
        <f>IF(2&gt;'③ パラメータ'!B32,"—",$C14+'③ パラメータ'!B28*(2-1))</f>
        <v/>
      </c>
      <c r="E14" s="12">
        <f>IF(3&gt;'③ パラメータ'!B32,"—",$C14+'③ パラメータ'!B28*(3-1))</f>
        <v/>
      </c>
      <c r="F14" s="12">
        <f>IF(4&gt;'③ パラメータ'!B32,"—",$C14+'③ パラメータ'!B28*(4-1))</f>
        <v/>
      </c>
      <c r="G14" s="12">
        <f>IF(5&gt;'③ パラメータ'!B32,"—",$C14+'③ パラメータ'!B28*(5-1))</f>
        <v/>
      </c>
      <c r="H14" s="12">
        <f>IF(6&gt;'③ パラメータ'!B32,"—",$C14+'③ パラメータ'!B28*(6-1))</f>
        <v/>
      </c>
      <c r="I14" s="12">
        <f>IF(7&gt;'③ パラメータ'!B32,"—",$C14+'③ パラメータ'!B28*(7-1))</f>
        <v/>
      </c>
      <c r="J14" s="12">
        <f>IF(8&gt;'③ パラメータ'!B32,"—",$C14+'③ パラメータ'!B28*(8-1))</f>
        <v/>
      </c>
      <c r="K14" s="12">
        <f>IF(9&gt;'③ パラメータ'!B32,"—",$C14+'③ パラメータ'!B28*(9-1))</f>
        <v/>
      </c>
      <c r="L14" s="12">
        <f>IF(10&gt;'③ パラメータ'!B32,"—",$C14+'③ パラメータ'!B28*(10-1))</f>
        <v/>
      </c>
      <c r="M14" s="17">
        <f>IF(L14="—","—",L14/C14)</f>
        <v/>
      </c>
    </row>
    <row r="15">
      <c r="A15" s="5" t="inlineStr"/>
      <c r="B15" s="5" t="inlineStr">
        <is>
          <t>ATK</t>
        </is>
      </c>
      <c r="C15" s="12">
        <f>AVERAGEIF('② 使い魔一覧'!$B$5:$B$54,"S",'② 使い魔一覧'!$F$5:$F$54)</f>
        <v/>
      </c>
      <c r="D15" s="12">
        <f>IF(2&gt;'③ パラメータ'!B32,"—",$C15+'③ パラメータ'!C28*(2-1))</f>
        <v/>
      </c>
      <c r="E15" s="12">
        <f>IF(3&gt;'③ パラメータ'!B32,"—",$C15+'③ パラメータ'!C28*(3-1))</f>
        <v/>
      </c>
      <c r="F15" s="12">
        <f>IF(4&gt;'③ パラメータ'!B32,"—",$C15+'③ パラメータ'!C28*(4-1))</f>
        <v/>
      </c>
      <c r="G15" s="12">
        <f>IF(5&gt;'③ パラメータ'!B32,"—",$C15+'③ パラメータ'!C28*(5-1))</f>
        <v/>
      </c>
      <c r="H15" s="12">
        <f>IF(6&gt;'③ パラメータ'!B32,"—",$C15+'③ パラメータ'!C28*(6-1))</f>
        <v/>
      </c>
      <c r="I15" s="12">
        <f>IF(7&gt;'③ パラメータ'!B32,"—",$C15+'③ パラメータ'!C28*(7-1))</f>
        <v/>
      </c>
      <c r="J15" s="12">
        <f>IF(8&gt;'③ パラメータ'!B32,"—",$C15+'③ パラメータ'!C28*(8-1))</f>
        <v/>
      </c>
      <c r="K15" s="12">
        <f>IF(9&gt;'③ パラメータ'!B32,"—",$C15+'③ パラメータ'!C28*(9-1))</f>
        <v/>
      </c>
      <c r="L15" s="12">
        <f>IF(10&gt;'③ パラメータ'!B32,"—",$C15+'③ パラメータ'!C28*(10-1))</f>
        <v/>
      </c>
      <c r="M15" s="17">
        <f>IF(L15="—","—",L15/C15)</f>
        <v/>
      </c>
    </row>
    <row r="16">
      <c r="A16" s="5" t="inlineStr"/>
      <c r="B16" s="5" t="inlineStr">
        <is>
          <t>SPD</t>
        </is>
      </c>
      <c r="C16" s="12">
        <f>AVERAGEIF('② 使い魔一覧'!$B$5:$B$54,"S",'② 使い魔一覧'!$G$5:$G$54)</f>
        <v/>
      </c>
      <c r="D16" s="7">
        <f>IF(2&gt;'③ パラメータ'!B32,"—",$C16)</f>
        <v/>
      </c>
      <c r="E16" s="7">
        <f>IF(3&gt;'③ パラメータ'!B32,"—",$C16)</f>
        <v/>
      </c>
      <c r="F16" s="7">
        <f>IF(4&gt;'③ パラメータ'!B32,"—",$C16)</f>
        <v/>
      </c>
      <c r="G16" s="7">
        <f>IF(5&gt;'③ パラメータ'!B32,"—",$C16)</f>
        <v/>
      </c>
      <c r="H16" s="7">
        <f>IF(6&gt;'③ パラメータ'!B32,"—",$C16)</f>
        <v/>
      </c>
      <c r="I16" s="7">
        <f>IF(7&gt;'③ パラメータ'!B32,"—",$C16)</f>
        <v/>
      </c>
      <c r="J16" s="7">
        <f>IF(8&gt;'③ パラメータ'!B32,"—",$C16)</f>
        <v/>
      </c>
      <c r="K16" s="7">
        <f>IF(9&gt;'③ パラメータ'!B32,"—",$C16)</f>
        <v/>
      </c>
      <c r="L16" s="7">
        <f>IF(10&gt;'③ パラメータ'!B32,"—",$C16)</f>
        <v/>
      </c>
      <c r="M16" s="17">
        <f>IF(L16="—","—",L16/C16)</f>
        <v/>
      </c>
    </row>
    <row r="18">
      <c r="A18" s="9" t="inlineStr">
        <is>
          <t>■ 見るときのポイント</t>
        </is>
      </c>
    </row>
    <row r="19">
      <c r="A19" s="3" t="inlineStr">
        <is>
          <t xml:space="preserve">　・Lv1がゲームで最初に手に入る状態です。そこから合成でLv10まで上げます。</t>
        </is>
      </c>
    </row>
    <row r="20">
      <c r="A20" s="3" t="inlineStr">
        <is>
          <t xml:space="preserve">　・ATKは4〜12程度です。固定で+1すると1回で10〜25%増える計算になります。</t>
        </is>
      </c>
    </row>
    <row r="21">
      <c r="A21" s="3" t="inlineStr">
        <is>
          <t xml:space="preserve">　・SはAよりATKもSPDも低めです。SはHPとスキルとCOSTで差がついています。</t>
        </is>
      </c>
    </row>
    <row r="22">
      <c r="A22" s="3" t="inlineStr">
        <is>
          <t xml:space="preserve">　・SPDは成長しないので、行動順は最初から最後まで変わりません。</t>
        </is>
      </c>
    </row>
    <row r="23">
      <c r="A23" s="3" t="inlineStr">
        <is>
          <t xml:space="preserve">　・スキルはATK・最大HPの割合で効くため、能力値を上げるとスキル威力も一緒に上がります。</t>
        </is>
      </c>
    </row>
  </sheetData>
  <mergeCells count="9">
    <mergeCell ref="A19:M19"/>
    <mergeCell ref="A1:M1"/>
    <mergeCell ref="A23:M23"/>
    <mergeCell ref="A22:M22"/>
    <mergeCell ref="A18:M18"/>
    <mergeCell ref="A3:M3"/>
    <mergeCell ref="A21:M21"/>
    <mergeCell ref="A20:M20"/>
    <mergeCell ref="A2:M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2"/>
  <sheetViews>
    <sheetView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8" customWidth="1" min="5" max="5"/>
    <col width="8" customWidth="1" min="6" max="6"/>
    <col width="12" customWidth="1" min="7" max="7"/>
    <col width="12" customWidth="1" min="8" max="8"/>
    <col width="13" customWidth="1" min="9" max="9"/>
    <col width="12" customWidth="1" min="10" max="10"/>
    <col width="12" customWidth="1" min="11" max="11"/>
    <col width="13" customWidth="1" min="12" max="12"/>
    <col width="13" customWidth="1" min="13" max="13"/>
    <col width="13" customWidth="1" min="14" max="14"/>
    <col width="14" customWidth="1" min="15" max="15"/>
    <col width="20" customWidth="1" min="16" max="16"/>
  </cols>
  <sheetData>
    <row r="1" ht="22" customHeight="1">
      <c r="A1" s="1" t="inlineStr">
        <is>
          <t xml:space="preserve">  ⑥ デッキ試算　— 合計COST20以内の編成と、そのステータス</t>
        </is>
      </c>
    </row>
    <row r="2">
      <c r="A2" s="3" t="inlineStr">
        <is>
          <t xml:space="preserve">　　ランクの組み合わせごとに、⑤成長試算の平均能力値を足し合わせています。</t>
        </is>
      </c>
    </row>
    <row r="3">
      <c r="A3" s="3" t="inlineStr">
        <is>
          <t xml:space="preserve">　　HPとATKは編成ぶんの合計、SPDは1体あたりの平均です。</t>
        </is>
      </c>
    </row>
    <row r="5">
      <c r="A5" s="4" t="inlineStr">
        <is>
          <t>S</t>
        </is>
      </c>
      <c r="B5" s="4" t="inlineStr">
        <is>
          <t>A</t>
        </is>
      </c>
      <c r="C5" s="4" t="inlineStr">
        <is>
          <t>B</t>
        </is>
      </c>
      <c r="D5" s="4" t="inlineStr">
        <is>
          <t>C</t>
        </is>
      </c>
      <c r="E5" s="4" t="inlineStr">
        <is>
          <t>体数</t>
        </is>
      </c>
      <c r="F5" s="4" t="inlineStr">
        <is>
          <t>COST</t>
        </is>
      </c>
      <c r="G5" s="4" t="inlineStr">
        <is>
          <t>Lv1 HP合計</t>
        </is>
      </c>
      <c r="H5" s="4" t="inlineStr">
        <is>
          <t>Lv1 ATK合計</t>
        </is>
      </c>
      <c r="I5" s="4" t="inlineStr">
        <is>
          <t>Lv1 SPD平均</t>
        </is>
      </c>
      <c r="J5" s="4" t="inlineStr">
        <is>
          <t>Lv5 HP合計</t>
        </is>
      </c>
      <c r="K5" s="4" t="inlineStr">
        <is>
          <t>Lv5 ATK合計</t>
        </is>
      </c>
      <c r="L5" s="4" t="inlineStr">
        <is>
          <t>Lv5 SPD平均</t>
        </is>
      </c>
      <c r="M5" s="4" t="inlineStr">
        <is>
          <t>Lv10 HP合計</t>
        </is>
      </c>
      <c r="N5" s="4" t="inlineStr">
        <is>
          <t>Lv10 ATK合計</t>
        </is>
      </c>
      <c r="O5" s="4" t="inlineStr">
        <is>
          <t>Lv10 SPD平均</t>
        </is>
      </c>
      <c r="P5" s="4" t="inlineStr">
        <is>
          <t>備考</t>
        </is>
      </c>
    </row>
    <row r="6">
      <c r="A6" s="5" t="n">
        <v>3</v>
      </c>
      <c r="B6" s="5" t="n">
        <v>0</v>
      </c>
      <c r="C6" s="5" t="n">
        <v>1</v>
      </c>
      <c r="D6" s="5" t="n">
        <v>1</v>
      </c>
      <c r="E6" s="5" t="n">
        <v>5</v>
      </c>
      <c r="F6" s="10" t="n">
        <v>20</v>
      </c>
      <c r="G6" s="7">
        <f>IF('⑤ 成長試算'!C14="—","—",A6*'⑤ 成長試算'!C14+B6*'⑤ 成長試算'!C11+C6*'⑤ 成長試算'!C8+D6*'⑤ 成長試算'!C5)</f>
        <v/>
      </c>
      <c r="H6" s="7">
        <f>IF('⑤ 成長試算'!C14="—","—",A6*'⑤ 成長試算'!C15+B6*'⑤ 成長試算'!C12+C6*'⑤ 成長試算'!C9+D6*'⑤ 成長試算'!C6)</f>
        <v/>
      </c>
      <c r="I6" s="7">
        <f>IF('⑤ 成長試算'!C14="—","—",(A6*'⑤ 成長試算'!C16+B6*'⑤ 成長試算'!C13+C6*'⑤ 成長試算'!C10+D6*'⑤ 成長試算'!C7)/E6)</f>
        <v/>
      </c>
      <c r="J6" s="7">
        <f>IF('⑤ 成長試算'!G14="—","—",A6*'⑤ 成長試算'!G14+B6*'⑤ 成長試算'!G11+C6*'⑤ 成長試算'!G8+D6*'⑤ 成長試算'!G5)</f>
        <v/>
      </c>
      <c r="K6" s="7">
        <f>IF('⑤ 成長試算'!G14="—","—",A6*'⑤ 成長試算'!G15+B6*'⑤ 成長試算'!G12+C6*'⑤ 成長試算'!G9+D6*'⑤ 成長試算'!G6)</f>
        <v/>
      </c>
      <c r="L6" s="7">
        <f>IF('⑤ 成長試算'!G14="—","—",(A6*'⑤ 成長試算'!G16+B6*'⑤ 成長試算'!G13+C6*'⑤ 成長試算'!G10+D6*'⑤ 成長試算'!G7)/E6)</f>
        <v/>
      </c>
      <c r="M6" s="7">
        <f>IF('⑤ 成長試算'!L14="—","—",A6*'⑤ 成長試算'!L14+B6*'⑤ 成長試算'!L11+C6*'⑤ 成長試算'!L8+D6*'⑤ 成長試算'!L5)</f>
        <v/>
      </c>
      <c r="N6" s="7">
        <f>IF('⑤ 成長試算'!L14="—","—",A6*'⑤ 成長試算'!L15+B6*'⑤ 成長試算'!L12+C6*'⑤ 成長試算'!L9+D6*'⑤ 成長試算'!L6)</f>
        <v/>
      </c>
      <c r="O6" s="7">
        <f>IF('⑤ 成長試算'!L14="—","—",(A6*'⑤ 成長試算'!L16+B6*'⑤ 成長試算'!L13+C6*'⑤ 成長試算'!L10+D6*'⑤ 成長試算'!L7)/E6)</f>
        <v/>
      </c>
      <c r="P6" s="5" t="inlineStr">
        <is>
          <t>COST上限ぴったり</t>
        </is>
      </c>
    </row>
    <row r="7">
      <c r="A7" s="5" t="n">
        <v>2</v>
      </c>
      <c r="B7" s="5" t="n">
        <v>2</v>
      </c>
      <c r="C7" s="5" t="n">
        <v>0</v>
      </c>
      <c r="D7" s="5" t="n">
        <v>1</v>
      </c>
      <c r="E7" s="5" t="n">
        <v>5</v>
      </c>
      <c r="F7" s="10" t="n">
        <v>20</v>
      </c>
      <c r="G7" s="7">
        <f>IF('⑤ 成長試算'!C14="—","—",A7*'⑤ 成長試算'!C14+B7*'⑤ 成長試算'!C11+C7*'⑤ 成長試算'!C8+D7*'⑤ 成長試算'!C5)</f>
        <v/>
      </c>
      <c r="H7" s="7">
        <f>IF('⑤ 成長試算'!C14="—","—",A7*'⑤ 成長試算'!C15+B7*'⑤ 成長試算'!C12+C7*'⑤ 成長試算'!C9+D7*'⑤ 成長試算'!C6)</f>
        <v/>
      </c>
      <c r="I7" s="7">
        <f>IF('⑤ 成長試算'!C14="—","—",(A7*'⑤ 成長試算'!C16+B7*'⑤ 成長試算'!C13+C7*'⑤ 成長試算'!C10+D7*'⑤ 成長試算'!C7)/E7)</f>
        <v/>
      </c>
      <c r="J7" s="7">
        <f>IF('⑤ 成長試算'!G14="—","—",A7*'⑤ 成長試算'!G14+B7*'⑤ 成長試算'!G11+C7*'⑤ 成長試算'!G8+D7*'⑤ 成長試算'!G5)</f>
        <v/>
      </c>
      <c r="K7" s="7">
        <f>IF('⑤ 成長試算'!G14="—","—",A7*'⑤ 成長試算'!G15+B7*'⑤ 成長試算'!G12+C7*'⑤ 成長試算'!G9+D7*'⑤ 成長試算'!G6)</f>
        <v/>
      </c>
      <c r="L7" s="7">
        <f>IF('⑤ 成長試算'!G14="—","—",(A7*'⑤ 成長試算'!G16+B7*'⑤ 成長試算'!G13+C7*'⑤ 成長試算'!G10+D7*'⑤ 成長試算'!G7)/E7)</f>
        <v/>
      </c>
      <c r="M7" s="7">
        <f>IF('⑤ 成長試算'!L14="—","—",A7*'⑤ 成長試算'!L14+B7*'⑤ 成長試算'!L11+C7*'⑤ 成長試算'!L8+D7*'⑤ 成長試算'!L5)</f>
        <v/>
      </c>
      <c r="N7" s="7">
        <f>IF('⑤ 成長試算'!L14="—","—",A7*'⑤ 成長試算'!L15+B7*'⑤ 成長試算'!L12+C7*'⑤ 成長試算'!L9+D7*'⑤ 成長試算'!L6)</f>
        <v/>
      </c>
      <c r="O7" s="7">
        <f>IF('⑤ 成長試算'!L14="—","—",(A7*'⑤ 成長試算'!L16+B7*'⑤ 成長試算'!L13+C7*'⑤ 成長試算'!L10+D7*'⑤ 成長試算'!L7)/E7)</f>
        <v/>
      </c>
      <c r="P7" s="5" t="inlineStr">
        <is>
          <t>COST上限ぴったり</t>
        </is>
      </c>
    </row>
    <row r="8">
      <c r="A8" s="5" t="n">
        <v>2</v>
      </c>
      <c r="B8" s="5" t="n">
        <v>1</v>
      </c>
      <c r="C8" s="5" t="n">
        <v>2</v>
      </c>
      <c r="D8" s="5" t="n">
        <v>0</v>
      </c>
      <c r="E8" s="5" t="n">
        <v>5</v>
      </c>
      <c r="F8" s="10" t="n">
        <v>20</v>
      </c>
      <c r="G8" s="7">
        <f>IF('⑤ 成長試算'!C14="—","—",A8*'⑤ 成長試算'!C14+B8*'⑤ 成長試算'!C11+C8*'⑤ 成長試算'!C8+D8*'⑤ 成長試算'!C5)</f>
        <v/>
      </c>
      <c r="H8" s="7">
        <f>IF('⑤ 成長試算'!C14="—","—",A8*'⑤ 成長試算'!C15+B8*'⑤ 成長試算'!C12+C8*'⑤ 成長試算'!C9+D8*'⑤ 成長試算'!C6)</f>
        <v/>
      </c>
      <c r="I8" s="7">
        <f>IF('⑤ 成長試算'!C14="—","—",(A8*'⑤ 成長試算'!C16+B8*'⑤ 成長試算'!C13+C8*'⑤ 成長試算'!C10+D8*'⑤ 成長試算'!C7)/E8)</f>
        <v/>
      </c>
      <c r="J8" s="7">
        <f>IF('⑤ 成長試算'!G14="—","—",A8*'⑤ 成長試算'!G14+B8*'⑤ 成長試算'!G11+C8*'⑤ 成長試算'!G8+D8*'⑤ 成長試算'!G5)</f>
        <v/>
      </c>
      <c r="K8" s="7">
        <f>IF('⑤ 成長試算'!G14="—","—",A8*'⑤ 成長試算'!G15+B8*'⑤ 成長試算'!G12+C8*'⑤ 成長試算'!G9+D8*'⑤ 成長試算'!G6)</f>
        <v/>
      </c>
      <c r="L8" s="7">
        <f>IF('⑤ 成長試算'!G14="—","—",(A8*'⑤ 成長試算'!G16+B8*'⑤ 成長試算'!G13+C8*'⑤ 成長試算'!G10+D8*'⑤ 成長試算'!G7)/E8)</f>
        <v/>
      </c>
      <c r="M8" s="7">
        <f>IF('⑤ 成長試算'!L14="—","—",A8*'⑤ 成長試算'!L14+B8*'⑤ 成長試算'!L11+C8*'⑤ 成長試算'!L8+D8*'⑤ 成長試算'!L5)</f>
        <v/>
      </c>
      <c r="N8" s="7">
        <f>IF('⑤ 成長試算'!L14="—","—",A8*'⑤ 成長試算'!L15+B8*'⑤ 成長試算'!L12+C8*'⑤ 成長試算'!L9+D8*'⑤ 成長試算'!L6)</f>
        <v/>
      </c>
      <c r="O8" s="7">
        <f>IF('⑤ 成長試算'!L14="—","—",(A8*'⑤ 成長試算'!L16+B8*'⑤ 成長試算'!L13+C8*'⑤ 成長試算'!L10+D8*'⑤ 成長試算'!L7)/E8)</f>
        <v/>
      </c>
      <c r="P8" s="5" t="inlineStr">
        <is>
          <t>COST上限ぴったり</t>
        </is>
      </c>
    </row>
    <row r="9">
      <c r="A9" s="5" t="n">
        <v>1</v>
      </c>
      <c r="B9" s="5" t="n">
        <v>3</v>
      </c>
      <c r="C9" s="5" t="n">
        <v>1</v>
      </c>
      <c r="D9" s="5" t="n">
        <v>0</v>
      </c>
      <c r="E9" s="5" t="n">
        <v>5</v>
      </c>
      <c r="F9" s="10" t="n">
        <v>20</v>
      </c>
      <c r="G9" s="7">
        <f>IF('⑤ 成長試算'!C14="—","—",A9*'⑤ 成長試算'!C14+B9*'⑤ 成長試算'!C11+C9*'⑤ 成長試算'!C8+D9*'⑤ 成長試算'!C5)</f>
        <v/>
      </c>
      <c r="H9" s="7">
        <f>IF('⑤ 成長試算'!C14="—","—",A9*'⑤ 成長試算'!C15+B9*'⑤ 成長試算'!C12+C9*'⑤ 成長試算'!C9+D9*'⑤ 成長試算'!C6)</f>
        <v/>
      </c>
      <c r="I9" s="7">
        <f>IF('⑤ 成長試算'!C14="—","—",(A9*'⑤ 成長試算'!C16+B9*'⑤ 成長試算'!C13+C9*'⑤ 成長試算'!C10+D9*'⑤ 成長試算'!C7)/E9)</f>
        <v/>
      </c>
      <c r="J9" s="7">
        <f>IF('⑤ 成長試算'!G14="—","—",A9*'⑤ 成長試算'!G14+B9*'⑤ 成長試算'!G11+C9*'⑤ 成長試算'!G8+D9*'⑤ 成長試算'!G5)</f>
        <v/>
      </c>
      <c r="K9" s="7">
        <f>IF('⑤ 成長試算'!G14="—","—",A9*'⑤ 成長試算'!G15+B9*'⑤ 成長試算'!G12+C9*'⑤ 成長試算'!G9+D9*'⑤ 成長試算'!G6)</f>
        <v/>
      </c>
      <c r="L9" s="7">
        <f>IF('⑤ 成長試算'!G14="—","—",(A9*'⑤ 成長試算'!G16+B9*'⑤ 成長試算'!G13+C9*'⑤ 成長試算'!G10+D9*'⑤ 成長試算'!G7)/E9)</f>
        <v/>
      </c>
      <c r="M9" s="7">
        <f>IF('⑤ 成長試算'!L14="—","—",A9*'⑤ 成長試算'!L14+B9*'⑤ 成長試算'!L11+C9*'⑤ 成長試算'!L8+D9*'⑤ 成長試算'!L5)</f>
        <v/>
      </c>
      <c r="N9" s="7">
        <f>IF('⑤ 成長試算'!L14="—","—",A9*'⑤ 成長試算'!L15+B9*'⑤ 成長試算'!L12+C9*'⑤ 成長試算'!L9+D9*'⑤ 成長試算'!L6)</f>
        <v/>
      </c>
      <c r="O9" s="7">
        <f>IF('⑤ 成長試算'!L14="—","—",(A9*'⑤ 成長試算'!L16+B9*'⑤ 成長試算'!L13+C9*'⑤ 成長試算'!L10+D9*'⑤ 成長試算'!L7)/E9)</f>
        <v/>
      </c>
      <c r="P9" s="5" t="inlineStr">
        <is>
          <t>COST上限ぴったり</t>
        </is>
      </c>
    </row>
    <row r="10">
      <c r="A10" s="5" t="n">
        <v>0</v>
      </c>
      <c r="B10" s="5" t="n">
        <v>5</v>
      </c>
      <c r="C10" s="5" t="n">
        <v>0</v>
      </c>
      <c r="D10" s="5" t="n">
        <v>0</v>
      </c>
      <c r="E10" s="5" t="n">
        <v>5</v>
      </c>
      <c r="F10" s="10" t="n">
        <v>20</v>
      </c>
      <c r="G10" s="7">
        <f>IF('⑤ 成長試算'!C14="—","—",A10*'⑤ 成長試算'!C14+B10*'⑤ 成長試算'!C11+C10*'⑤ 成長試算'!C8+D10*'⑤ 成長試算'!C5)</f>
        <v/>
      </c>
      <c r="H10" s="7">
        <f>IF('⑤ 成長試算'!C14="—","—",A10*'⑤ 成長試算'!C15+B10*'⑤ 成長試算'!C12+C10*'⑤ 成長試算'!C9+D10*'⑤ 成長試算'!C6)</f>
        <v/>
      </c>
      <c r="I10" s="7">
        <f>IF('⑤ 成長試算'!C14="—","—",(A10*'⑤ 成長試算'!C16+B10*'⑤ 成長試算'!C13+C10*'⑤ 成長試算'!C10+D10*'⑤ 成長試算'!C7)/E10)</f>
        <v/>
      </c>
      <c r="J10" s="7">
        <f>IF('⑤ 成長試算'!G14="—","—",A10*'⑤ 成長試算'!G14+B10*'⑤ 成長試算'!G11+C10*'⑤ 成長試算'!G8+D10*'⑤ 成長試算'!G5)</f>
        <v/>
      </c>
      <c r="K10" s="7">
        <f>IF('⑤ 成長試算'!G14="—","—",A10*'⑤ 成長試算'!G15+B10*'⑤ 成長試算'!G12+C10*'⑤ 成長試算'!G9+D10*'⑤ 成長試算'!G6)</f>
        <v/>
      </c>
      <c r="L10" s="7">
        <f>IF('⑤ 成長試算'!G14="—","—",(A10*'⑤ 成長試算'!G16+B10*'⑤ 成長試算'!G13+C10*'⑤ 成長試算'!G10+D10*'⑤ 成長試算'!G7)/E10)</f>
        <v/>
      </c>
      <c r="M10" s="7">
        <f>IF('⑤ 成長試算'!L14="—","—",A10*'⑤ 成長試算'!L14+B10*'⑤ 成長試算'!L11+C10*'⑤ 成長試算'!L8+D10*'⑤ 成長試算'!L5)</f>
        <v/>
      </c>
      <c r="N10" s="7">
        <f>IF('⑤ 成長試算'!L14="—","—",A10*'⑤ 成長試算'!L15+B10*'⑤ 成長試算'!L12+C10*'⑤ 成長試算'!L9+D10*'⑤ 成長試算'!L6)</f>
        <v/>
      </c>
      <c r="O10" s="7">
        <f>IF('⑤ 成長試算'!L14="—","—",(A10*'⑤ 成長試算'!L16+B10*'⑤ 成長試算'!L13+C10*'⑤ 成長試算'!L10+D10*'⑤ 成長試算'!L7)/E10)</f>
        <v/>
      </c>
      <c r="P10" s="5" t="inlineStr">
        <is>
          <t>COST上限ぴったり</t>
        </is>
      </c>
    </row>
    <row r="11">
      <c r="A11" s="5" t="n">
        <v>3</v>
      </c>
      <c r="B11" s="5" t="n">
        <v>0</v>
      </c>
      <c r="C11" s="5" t="n">
        <v>0</v>
      </c>
      <c r="D11" s="5" t="n">
        <v>2</v>
      </c>
      <c r="E11" s="5" t="n">
        <v>5</v>
      </c>
      <c r="F11" s="10" t="n">
        <v>19</v>
      </c>
      <c r="G11" s="7">
        <f>IF('⑤ 成長試算'!C14="—","—",A11*'⑤ 成長試算'!C14+B11*'⑤ 成長試算'!C11+C11*'⑤ 成長試算'!C8+D11*'⑤ 成長試算'!C5)</f>
        <v/>
      </c>
      <c r="H11" s="7">
        <f>IF('⑤ 成長試算'!C14="—","—",A11*'⑤ 成長試算'!C15+B11*'⑤ 成長試算'!C12+C11*'⑤ 成長試算'!C9+D11*'⑤ 成長試算'!C6)</f>
        <v/>
      </c>
      <c r="I11" s="7">
        <f>IF('⑤ 成長試算'!C14="—","—",(A11*'⑤ 成長試算'!C16+B11*'⑤ 成長試算'!C13+C11*'⑤ 成長試算'!C10+D11*'⑤ 成長試算'!C7)/E11)</f>
        <v/>
      </c>
      <c r="J11" s="7">
        <f>IF('⑤ 成長試算'!G14="—","—",A11*'⑤ 成長試算'!G14+B11*'⑤ 成長試算'!G11+C11*'⑤ 成長試算'!G8+D11*'⑤ 成長試算'!G5)</f>
        <v/>
      </c>
      <c r="K11" s="7">
        <f>IF('⑤ 成長試算'!G14="—","—",A11*'⑤ 成長試算'!G15+B11*'⑤ 成長試算'!G12+C11*'⑤ 成長試算'!G9+D11*'⑤ 成長試算'!G6)</f>
        <v/>
      </c>
      <c r="L11" s="7">
        <f>IF('⑤ 成長試算'!G14="—","—",(A11*'⑤ 成長試算'!G16+B11*'⑤ 成長試算'!G13+C11*'⑤ 成長試算'!G10+D11*'⑤ 成長試算'!G7)/E11)</f>
        <v/>
      </c>
      <c r="M11" s="7">
        <f>IF('⑤ 成長試算'!L14="—","—",A11*'⑤ 成長試算'!L14+B11*'⑤ 成長試算'!L11+C11*'⑤ 成長試算'!L8+D11*'⑤ 成長試算'!L5)</f>
        <v/>
      </c>
      <c r="N11" s="7">
        <f>IF('⑤ 成長試算'!L14="—","—",A11*'⑤ 成長試算'!L15+B11*'⑤ 成長試算'!L12+C11*'⑤ 成長試算'!L9+D11*'⑤ 成長試算'!L6)</f>
        <v/>
      </c>
      <c r="O11" s="7">
        <f>IF('⑤ 成長試算'!L14="—","—",(A11*'⑤ 成長試算'!L16+B11*'⑤ 成長試算'!L13+C11*'⑤ 成長試算'!L10+D11*'⑤ 成長試算'!L7)/E11)</f>
        <v/>
      </c>
      <c r="P11" s="5" t="inlineStr"/>
    </row>
    <row r="12">
      <c r="A12" s="5" t="n">
        <v>2</v>
      </c>
      <c r="B12" s="5" t="n">
        <v>1</v>
      </c>
      <c r="C12" s="5" t="n">
        <v>1</v>
      </c>
      <c r="D12" s="5" t="n">
        <v>1</v>
      </c>
      <c r="E12" s="5" t="n">
        <v>5</v>
      </c>
      <c r="F12" s="10" t="n">
        <v>19</v>
      </c>
      <c r="G12" s="7">
        <f>IF('⑤ 成長試算'!C14="—","—",A12*'⑤ 成長試算'!C14+B12*'⑤ 成長試算'!C11+C12*'⑤ 成長試算'!C8+D12*'⑤ 成長試算'!C5)</f>
        <v/>
      </c>
      <c r="H12" s="7">
        <f>IF('⑤ 成長試算'!C14="—","—",A12*'⑤ 成長試算'!C15+B12*'⑤ 成長試算'!C12+C12*'⑤ 成長試算'!C9+D12*'⑤ 成長試算'!C6)</f>
        <v/>
      </c>
      <c r="I12" s="7">
        <f>IF('⑤ 成長試算'!C14="—","—",(A12*'⑤ 成長試算'!C16+B12*'⑤ 成長試算'!C13+C12*'⑤ 成長試算'!C10+D12*'⑤ 成長試算'!C7)/E12)</f>
        <v/>
      </c>
      <c r="J12" s="7">
        <f>IF('⑤ 成長試算'!G14="—","—",A12*'⑤ 成長試算'!G14+B12*'⑤ 成長試算'!G11+C12*'⑤ 成長試算'!G8+D12*'⑤ 成長試算'!G5)</f>
        <v/>
      </c>
      <c r="K12" s="7">
        <f>IF('⑤ 成長試算'!G14="—","—",A12*'⑤ 成長試算'!G15+B12*'⑤ 成長試算'!G12+C12*'⑤ 成長試算'!G9+D12*'⑤ 成長試算'!G6)</f>
        <v/>
      </c>
      <c r="L12" s="7">
        <f>IF('⑤ 成長試算'!G14="—","—",(A12*'⑤ 成長試算'!G16+B12*'⑤ 成長試算'!G13+C12*'⑤ 成長試算'!G10+D12*'⑤ 成長試算'!G7)/E12)</f>
        <v/>
      </c>
      <c r="M12" s="7">
        <f>IF('⑤ 成長試算'!L14="—","—",A12*'⑤ 成長試算'!L14+B12*'⑤ 成長試算'!L11+C12*'⑤ 成長試算'!L8+D12*'⑤ 成長試算'!L5)</f>
        <v/>
      </c>
      <c r="N12" s="7">
        <f>IF('⑤ 成長試算'!L14="—","—",A12*'⑤ 成長試算'!L15+B12*'⑤ 成長試算'!L12+C12*'⑤ 成長試算'!L9+D12*'⑤ 成長試算'!L6)</f>
        <v/>
      </c>
      <c r="O12" s="7">
        <f>IF('⑤ 成長試算'!L14="—","—",(A12*'⑤ 成長試算'!L16+B12*'⑤ 成長試算'!L13+C12*'⑤ 成長試算'!L10+D12*'⑤ 成長試算'!L7)/E12)</f>
        <v/>
      </c>
      <c r="P12" s="5" t="inlineStr"/>
    </row>
    <row r="13">
      <c r="A13" s="5" t="n">
        <v>2</v>
      </c>
      <c r="B13" s="5" t="n">
        <v>0</v>
      </c>
      <c r="C13" s="5" t="n">
        <v>3</v>
      </c>
      <c r="D13" s="5" t="n">
        <v>0</v>
      </c>
      <c r="E13" s="5" t="n">
        <v>5</v>
      </c>
      <c r="F13" s="10" t="n">
        <v>19</v>
      </c>
      <c r="G13" s="7">
        <f>IF('⑤ 成長試算'!C14="—","—",A13*'⑤ 成長試算'!C14+B13*'⑤ 成長試算'!C11+C13*'⑤ 成長試算'!C8+D13*'⑤ 成長試算'!C5)</f>
        <v/>
      </c>
      <c r="H13" s="7">
        <f>IF('⑤ 成長試算'!C14="—","—",A13*'⑤ 成長試算'!C15+B13*'⑤ 成長試算'!C12+C13*'⑤ 成長試算'!C9+D13*'⑤ 成長試算'!C6)</f>
        <v/>
      </c>
      <c r="I13" s="7">
        <f>IF('⑤ 成長試算'!C14="—","—",(A13*'⑤ 成長試算'!C16+B13*'⑤ 成長試算'!C13+C13*'⑤ 成長試算'!C10+D13*'⑤ 成長試算'!C7)/E13)</f>
        <v/>
      </c>
      <c r="J13" s="7">
        <f>IF('⑤ 成長試算'!G14="—","—",A13*'⑤ 成長試算'!G14+B13*'⑤ 成長試算'!G11+C13*'⑤ 成長試算'!G8+D13*'⑤ 成長試算'!G5)</f>
        <v/>
      </c>
      <c r="K13" s="7">
        <f>IF('⑤ 成長試算'!G14="—","—",A13*'⑤ 成長試算'!G15+B13*'⑤ 成長試算'!G12+C13*'⑤ 成長試算'!G9+D13*'⑤ 成長試算'!G6)</f>
        <v/>
      </c>
      <c r="L13" s="7">
        <f>IF('⑤ 成長試算'!G14="—","—",(A13*'⑤ 成長試算'!G16+B13*'⑤ 成長試算'!G13+C13*'⑤ 成長試算'!G10+D13*'⑤ 成長試算'!G7)/E13)</f>
        <v/>
      </c>
      <c r="M13" s="7">
        <f>IF('⑤ 成長試算'!L14="—","—",A13*'⑤ 成長試算'!L14+B13*'⑤ 成長試算'!L11+C13*'⑤ 成長試算'!L8+D13*'⑤ 成長試算'!L5)</f>
        <v/>
      </c>
      <c r="N13" s="7">
        <f>IF('⑤ 成長試算'!L14="—","—",A13*'⑤ 成長試算'!L15+B13*'⑤ 成長試算'!L12+C13*'⑤ 成長試算'!L9+D13*'⑤ 成長試算'!L6)</f>
        <v/>
      </c>
      <c r="O13" s="7">
        <f>IF('⑤ 成長試算'!L14="—","—",(A13*'⑤ 成長試算'!L16+B13*'⑤ 成長試算'!L13+C13*'⑤ 成長試算'!L10+D13*'⑤ 成長試算'!L7)/E13)</f>
        <v/>
      </c>
      <c r="P13" s="5" t="inlineStr"/>
    </row>
    <row r="14">
      <c r="A14" s="5" t="n">
        <v>1</v>
      </c>
      <c r="B14" s="5" t="n">
        <v>3</v>
      </c>
      <c r="C14" s="5" t="n">
        <v>0</v>
      </c>
      <c r="D14" s="5" t="n">
        <v>1</v>
      </c>
      <c r="E14" s="5" t="n">
        <v>5</v>
      </c>
      <c r="F14" s="10" t="n">
        <v>19</v>
      </c>
      <c r="G14" s="7">
        <f>IF('⑤ 成長試算'!C14="—","—",A14*'⑤ 成長試算'!C14+B14*'⑤ 成長試算'!C11+C14*'⑤ 成長試算'!C8+D14*'⑤ 成長試算'!C5)</f>
        <v/>
      </c>
      <c r="H14" s="7">
        <f>IF('⑤ 成長試算'!C14="—","—",A14*'⑤ 成長試算'!C15+B14*'⑤ 成長試算'!C12+C14*'⑤ 成長試算'!C9+D14*'⑤ 成長試算'!C6)</f>
        <v/>
      </c>
      <c r="I14" s="7">
        <f>IF('⑤ 成長試算'!C14="—","—",(A14*'⑤ 成長試算'!C16+B14*'⑤ 成長試算'!C13+C14*'⑤ 成長試算'!C10+D14*'⑤ 成長試算'!C7)/E14)</f>
        <v/>
      </c>
      <c r="J14" s="7">
        <f>IF('⑤ 成長試算'!G14="—","—",A14*'⑤ 成長試算'!G14+B14*'⑤ 成長試算'!G11+C14*'⑤ 成長試算'!G8+D14*'⑤ 成長試算'!G5)</f>
        <v/>
      </c>
      <c r="K14" s="7">
        <f>IF('⑤ 成長試算'!G14="—","—",A14*'⑤ 成長試算'!G15+B14*'⑤ 成長試算'!G12+C14*'⑤ 成長試算'!G9+D14*'⑤ 成長試算'!G6)</f>
        <v/>
      </c>
      <c r="L14" s="7">
        <f>IF('⑤ 成長試算'!G14="—","—",(A14*'⑤ 成長試算'!G16+B14*'⑤ 成長試算'!G13+C14*'⑤ 成長試算'!G10+D14*'⑤ 成長試算'!G7)/E14)</f>
        <v/>
      </c>
      <c r="M14" s="7">
        <f>IF('⑤ 成長試算'!L14="—","—",A14*'⑤ 成長試算'!L14+B14*'⑤ 成長試算'!L11+C14*'⑤ 成長試算'!L8+D14*'⑤ 成長試算'!L5)</f>
        <v/>
      </c>
      <c r="N14" s="7">
        <f>IF('⑤ 成長試算'!L14="—","—",A14*'⑤ 成長試算'!L15+B14*'⑤ 成長試算'!L12+C14*'⑤ 成長試算'!L9+D14*'⑤ 成長試算'!L6)</f>
        <v/>
      </c>
      <c r="O14" s="7">
        <f>IF('⑤ 成長試算'!L14="—","—",(A14*'⑤ 成長試算'!L16+B14*'⑤ 成長試算'!L13+C14*'⑤ 成長試算'!L10+D14*'⑤ 成長試算'!L7)/E14)</f>
        <v/>
      </c>
      <c r="P14" s="5" t="inlineStr"/>
    </row>
    <row r="15">
      <c r="A15" s="5" t="n">
        <v>1</v>
      </c>
      <c r="B15" s="5" t="n">
        <v>2</v>
      </c>
      <c r="C15" s="5" t="n">
        <v>2</v>
      </c>
      <c r="D15" s="5" t="n">
        <v>0</v>
      </c>
      <c r="E15" s="5" t="n">
        <v>5</v>
      </c>
      <c r="F15" s="10" t="n">
        <v>19</v>
      </c>
      <c r="G15" s="7">
        <f>IF('⑤ 成長試算'!C14="—","—",A15*'⑤ 成長試算'!C14+B15*'⑤ 成長試算'!C11+C15*'⑤ 成長試算'!C8+D15*'⑤ 成長試算'!C5)</f>
        <v/>
      </c>
      <c r="H15" s="7">
        <f>IF('⑤ 成長試算'!C14="—","—",A15*'⑤ 成長試算'!C15+B15*'⑤ 成長試算'!C12+C15*'⑤ 成長試算'!C9+D15*'⑤ 成長試算'!C6)</f>
        <v/>
      </c>
      <c r="I15" s="7">
        <f>IF('⑤ 成長試算'!C14="—","—",(A15*'⑤ 成長試算'!C16+B15*'⑤ 成長試算'!C13+C15*'⑤ 成長試算'!C10+D15*'⑤ 成長試算'!C7)/E15)</f>
        <v/>
      </c>
      <c r="J15" s="7">
        <f>IF('⑤ 成長試算'!G14="—","—",A15*'⑤ 成長試算'!G14+B15*'⑤ 成長試算'!G11+C15*'⑤ 成長試算'!G8+D15*'⑤ 成長試算'!G5)</f>
        <v/>
      </c>
      <c r="K15" s="7">
        <f>IF('⑤ 成長試算'!G14="—","—",A15*'⑤ 成長試算'!G15+B15*'⑤ 成長試算'!G12+C15*'⑤ 成長試算'!G9+D15*'⑤ 成長試算'!G6)</f>
        <v/>
      </c>
      <c r="L15" s="7">
        <f>IF('⑤ 成長試算'!G14="—","—",(A15*'⑤ 成長試算'!G16+B15*'⑤ 成長試算'!G13+C15*'⑤ 成長試算'!G10+D15*'⑤ 成長試算'!G7)/E15)</f>
        <v/>
      </c>
      <c r="M15" s="7">
        <f>IF('⑤ 成長試算'!L14="—","—",A15*'⑤ 成長試算'!L14+B15*'⑤ 成長試算'!L11+C15*'⑤ 成長試算'!L8+D15*'⑤ 成長試算'!L5)</f>
        <v/>
      </c>
      <c r="N15" s="7">
        <f>IF('⑤ 成長試算'!L14="—","—",A15*'⑤ 成長試算'!L15+B15*'⑤ 成長試算'!L12+C15*'⑤ 成長試算'!L9+D15*'⑤ 成長試算'!L6)</f>
        <v/>
      </c>
      <c r="O15" s="7">
        <f>IF('⑤ 成長試算'!L14="—","—",(A15*'⑤ 成長試算'!L16+B15*'⑤ 成長試算'!L13+C15*'⑤ 成長試算'!L10+D15*'⑤ 成長試算'!L7)/E15)</f>
        <v/>
      </c>
      <c r="P15" s="5" t="inlineStr"/>
    </row>
    <row r="16">
      <c r="A16" s="5" t="n">
        <v>0</v>
      </c>
      <c r="B16" s="5" t="n">
        <v>4</v>
      </c>
      <c r="C16" s="5" t="n">
        <v>1</v>
      </c>
      <c r="D16" s="5" t="n">
        <v>0</v>
      </c>
      <c r="E16" s="5" t="n">
        <v>5</v>
      </c>
      <c r="F16" s="10" t="n">
        <v>19</v>
      </c>
      <c r="G16" s="7">
        <f>IF('⑤ 成長試算'!C14="—","—",A16*'⑤ 成長試算'!C14+B16*'⑤ 成長試算'!C11+C16*'⑤ 成長試算'!C8+D16*'⑤ 成長試算'!C5)</f>
        <v/>
      </c>
      <c r="H16" s="7">
        <f>IF('⑤ 成長試算'!C14="—","—",A16*'⑤ 成長試算'!C15+B16*'⑤ 成長試算'!C12+C16*'⑤ 成長試算'!C9+D16*'⑤ 成長試算'!C6)</f>
        <v/>
      </c>
      <c r="I16" s="7">
        <f>IF('⑤ 成長試算'!C14="—","—",(A16*'⑤ 成長試算'!C16+B16*'⑤ 成長試算'!C13+C16*'⑤ 成長試算'!C10+D16*'⑤ 成長試算'!C7)/E16)</f>
        <v/>
      </c>
      <c r="J16" s="7">
        <f>IF('⑤ 成長試算'!G14="—","—",A16*'⑤ 成長試算'!G14+B16*'⑤ 成長試算'!G11+C16*'⑤ 成長試算'!G8+D16*'⑤ 成長試算'!G5)</f>
        <v/>
      </c>
      <c r="K16" s="7">
        <f>IF('⑤ 成長試算'!G14="—","—",A16*'⑤ 成長試算'!G15+B16*'⑤ 成長試算'!G12+C16*'⑤ 成長試算'!G9+D16*'⑤ 成長試算'!G6)</f>
        <v/>
      </c>
      <c r="L16" s="7">
        <f>IF('⑤ 成長試算'!G14="—","—",(A16*'⑤ 成長試算'!G16+B16*'⑤ 成長試算'!G13+C16*'⑤ 成長試算'!G10+D16*'⑤ 成長試算'!G7)/E16)</f>
        <v/>
      </c>
      <c r="M16" s="7">
        <f>IF('⑤ 成長試算'!L14="—","—",A16*'⑤ 成長試算'!L14+B16*'⑤ 成長試算'!L11+C16*'⑤ 成長試算'!L8+D16*'⑤ 成長試算'!L5)</f>
        <v/>
      </c>
      <c r="N16" s="7">
        <f>IF('⑤ 成長試算'!L14="—","—",A16*'⑤ 成長試算'!L15+B16*'⑤ 成長試算'!L12+C16*'⑤ 成長試算'!L9+D16*'⑤ 成長試算'!L6)</f>
        <v/>
      </c>
      <c r="O16" s="7">
        <f>IF('⑤ 成長試算'!L14="—","—",(A16*'⑤ 成長試算'!L16+B16*'⑤ 成長試算'!L13+C16*'⑤ 成長試算'!L10+D16*'⑤ 成長試算'!L7)/E16)</f>
        <v/>
      </c>
      <c r="P16" s="5" t="inlineStr"/>
    </row>
    <row r="17">
      <c r="A17" s="5" t="n">
        <v>2</v>
      </c>
      <c r="B17" s="5" t="n">
        <v>1</v>
      </c>
      <c r="C17" s="5" t="n">
        <v>0</v>
      </c>
      <c r="D17" s="5" t="n">
        <v>2</v>
      </c>
      <c r="E17" s="5" t="n">
        <v>5</v>
      </c>
      <c r="F17" s="10" t="n">
        <v>18</v>
      </c>
      <c r="G17" s="7">
        <f>IF('⑤ 成長試算'!C14="—","—",A17*'⑤ 成長試算'!C14+B17*'⑤ 成長試算'!C11+C17*'⑤ 成長試算'!C8+D17*'⑤ 成長試算'!C5)</f>
        <v/>
      </c>
      <c r="H17" s="7">
        <f>IF('⑤ 成長試算'!C14="—","—",A17*'⑤ 成長試算'!C15+B17*'⑤ 成長試算'!C12+C17*'⑤ 成長試算'!C9+D17*'⑤ 成長試算'!C6)</f>
        <v/>
      </c>
      <c r="I17" s="7">
        <f>IF('⑤ 成長試算'!C14="—","—",(A17*'⑤ 成長試算'!C16+B17*'⑤ 成長試算'!C13+C17*'⑤ 成長試算'!C10+D17*'⑤ 成長試算'!C7)/E17)</f>
        <v/>
      </c>
      <c r="J17" s="7">
        <f>IF('⑤ 成長試算'!G14="—","—",A17*'⑤ 成長試算'!G14+B17*'⑤ 成長試算'!G11+C17*'⑤ 成長試算'!G8+D17*'⑤ 成長試算'!G5)</f>
        <v/>
      </c>
      <c r="K17" s="7">
        <f>IF('⑤ 成長試算'!G14="—","—",A17*'⑤ 成長試算'!G15+B17*'⑤ 成長試算'!G12+C17*'⑤ 成長試算'!G9+D17*'⑤ 成長試算'!G6)</f>
        <v/>
      </c>
      <c r="L17" s="7">
        <f>IF('⑤ 成長試算'!G14="—","—",(A17*'⑤ 成長試算'!G16+B17*'⑤ 成長試算'!G13+C17*'⑤ 成長試算'!G10+D17*'⑤ 成長試算'!G7)/E17)</f>
        <v/>
      </c>
      <c r="M17" s="7">
        <f>IF('⑤ 成長試算'!L14="—","—",A17*'⑤ 成長試算'!L14+B17*'⑤ 成長試算'!L11+C17*'⑤ 成長試算'!L8+D17*'⑤ 成長試算'!L5)</f>
        <v/>
      </c>
      <c r="N17" s="7">
        <f>IF('⑤ 成長試算'!L14="—","—",A17*'⑤ 成長試算'!L15+B17*'⑤ 成長試算'!L12+C17*'⑤ 成長試算'!L9+D17*'⑤ 成長試算'!L6)</f>
        <v/>
      </c>
      <c r="O17" s="7">
        <f>IF('⑤ 成長試算'!L14="—","—",(A17*'⑤ 成長試算'!L16+B17*'⑤ 成長試算'!L13+C17*'⑤ 成長試算'!L10+D17*'⑤ 成長試算'!L7)/E17)</f>
        <v/>
      </c>
      <c r="P17" s="5" t="inlineStr"/>
    </row>
    <row r="18">
      <c r="A18" s="5" t="n">
        <v>2</v>
      </c>
      <c r="B18" s="5" t="n">
        <v>0</v>
      </c>
      <c r="C18" s="5" t="n">
        <v>2</v>
      </c>
      <c r="D18" s="5" t="n">
        <v>1</v>
      </c>
      <c r="E18" s="5" t="n">
        <v>5</v>
      </c>
      <c r="F18" s="10" t="n">
        <v>18</v>
      </c>
      <c r="G18" s="7">
        <f>IF('⑤ 成長試算'!C14="—","—",A18*'⑤ 成長試算'!C14+B18*'⑤ 成長試算'!C11+C18*'⑤ 成長試算'!C8+D18*'⑤ 成長試算'!C5)</f>
        <v/>
      </c>
      <c r="H18" s="7">
        <f>IF('⑤ 成長試算'!C14="—","—",A18*'⑤ 成長試算'!C15+B18*'⑤ 成長試算'!C12+C18*'⑤ 成長試算'!C9+D18*'⑤ 成長試算'!C6)</f>
        <v/>
      </c>
      <c r="I18" s="7">
        <f>IF('⑤ 成長試算'!C14="—","—",(A18*'⑤ 成長試算'!C16+B18*'⑤ 成長試算'!C13+C18*'⑤ 成長試算'!C10+D18*'⑤ 成長試算'!C7)/E18)</f>
        <v/>
      </c>
      <c r="J18" s="7">
        <f>IF('⑤ 成長試算'!G14="—","—",A18*'⑤ 成長試算'!G14+B18*'⑤ 成長試算'!G11+C18*'⑤ 成長試算'!G8+D18*'⑤ 成長試算'!G5)</f>
        <v/>
      </c>
      <c r="K18" s="7">
        <f>IF('⑤ 成長試算'!G14="—","—",A18*'⑤ 成長試算'!G15+B18*'⑤ 成長試算'!G12+C18*'⑤ 成長試算'!G9+D18*'⑤ 成長試算'!G6)</f>
        <v/>
      </c>
      <c r="L18" s="7">
        <f>IF('⑤ 成長試算'!G14="—","—",(A18*'⑤ 成長試算'!G16+B18*'⑤ 成長試算'!G13+C18*'⑤ 成長試算'!G10+D18*'⑤ 成長試算'!G7)/E18)</f>
        <v/>
      </c>
      <c r="M18" s="7">
        <f>IF('⑤ 成長試算'!L14="—","—",A18*'⑤ 成長試算'!L14+B18*'⑤ 成長試算'!L11+C18*'⑤ 成長試算'!L8+D18*'⑤ 成長試算'!L5)</f>
        <v/>
      </c>
      <c r="N18" s="7">
        <f>IF('⑤ 成長試算'!L14="—","—",A18*'⑤ 成長試算'!L15+B18*'⑤ 成長試算'!L12+C18*'⑤ 成長試算'!L9+D18*'⑤ 成長試算'!L6)</f>
        <v/>
      </c>
      <c r="O18" s="7">
        <f>IF('⑤ 成長試算'!L14="—","—",(A18*'⑤ 成長試算'!L16+B18*'⑤ 成長試算'!L13+C18*'⑤ 成長試算'!L10+D18*'⑤ 成長試算'!L7)/E18)</f>
        <v/>
      </c>
      <c r="P18" s="5" t="inlineStr"/>
    </row>
    <row r="19">
      <c r="A19" s="5" t="n">
        <v>1</v>
      </c>
      <c r="B19" s="5" t="n">
        <v>2</v>
      </c>
      <c r="C19" s="5" t="n">
        <v>1</v>
      </c>
      <c r="D19" s="5" t="n">
        <v>1</v>
      </c>
      <c r="E19" s="5" t="n">
        <v>5</v>
      </c>
      <c r="F19" s="10" t="n">
        <v>18</v>
      </c>
      <c r="G19" s="7">
        <f>IF('⑤ 成長試算'!C14="—","—",A19*'⑤ 成長試算'!C14+B19*'⑤ 成長試算'!C11+C19*'⑤ 成長試算'!C8+D19*'⑤ 成長試算'!C5)</f>
        <v/>
      </c>
      <c r="H19" s="7">
        <f>IF('⑤ 成長試算'!C14="—","—",A19*'⑤ 成長試算'!C15+B19*'⑤ 成長試算'!C12+C19*'⑤ 成長試算'!C9+D19*'⑤ 成長試算'!C6)</f>
        <v/>
      </c>
      <c r="I19" s="7">
        <f>IF('⑤ 成長試算'!C14="—","—",(A19*'⑤ 成長試算'!C16+B19*'⑤ 成長試算'!C13+C19*'⑤ 成長試算'!C10+D19*'⑤ 成長試算'!C7)/E19)</f>
        <v/>
      </c>
      <c r="J19" s="7">
        <f>IF('⑤ 成長試算'!G14="—","—",A19*'⑤ 成長試算'!G14+B19*'⑤ 成長試算'!G11+C19*'⑤ 成長試算'!G8+D19*'⑤ 成長試算'!G5)</f>
        <v/>
      </c>
      <c r="K19" s="7">
        <f>IF('⑤ 成長試算'!G14="—","—",A19*'⑤ 成長試算'!G15+B19*'⑤ 成長試算'!G12+C19*'⑤ 成長試算'!G9+D19*'⑤ 成長試算'!G6)</f>
        <v/>
      </c>
      <c r="L19" s="7">
        <f>IF('⑤ 成長試算'!G14="—","—",(A19*'⑤ 成長試算'!G16+B19*'⑤ 成長試算'!G13+C19*'⑤ 成長試算'!G10+D19*'⑤ 成長試算'!G7)/E19)</f>
        <v/>
      </c>
      <c r="M19" s="7">
        <f>IF('⑤ 成長試算'!L14="—","—",A19*'⑤ 成長試算'!L14+B19*'⑤ 成長試算'!L11+C19*'⑤ 成長試算'!L8+D19*'⑤ 成長試算'!L5)</f>
        <v/>
      </c>
      <c r="N19" s="7">
        <f>IF('⑤ 成長試算'!L14="—","—",A19*'⑤ 成長試算'!L15+B19*'⑤ 成長試算'!L12+C19*'⑤ 成長試算'!L9+D19*'⑤ 成長試算'!L6)</f>
        <v/>
      </c>
      <c r="O19" s="7">
        <f>IF('⑤ 成長試算'!L14="—","—",(A19*'⑤ 成長試算'!L16+B19*'⑤ 成長試算'!L13+C19*'⑤ 成長試算'!L10+D19*'⑤ 成長試算'!L7)/E19)</f>
        <v/>
      </c>
      <c r="P19" s="5" t="inlineStr"/>
    </row>
    <row r="20">
      <c r="A20" s="5" t="n">
        <v>1</v>
      </c>
      <c r="B20" s="5" t="n">
        <v>1</v>
      </c>
      <c r="C20" s="5" t="n">
        <v>3</v>
      </c>
      <c r="D20" s="5" t="n">
        <v>0</v>
      </c>
      <c r="E20" s="5" t="n">
        <v>5</v>
      </c>
      <c r="F20" s="10" t="n">
        <v>18</v>
      </c>
      <c r="G20" s="7">
        <f>IF('⑤ 成長試算'!C14="—","—",A20*'⑤ 成長試算'!C14+B20*'⑤ 成長試算'!C11+C20*'⑤ 成長試算'!C8+D20*'⑤ 成長試算'!C5)</f>
        <v/>
      </c>
      <c r="H20" s="7">
        <f>IF('⑤ 成長試算'!C14="—","—",A20*'⑤ 成長試算'!C15+B20*'⑤ 成長試算'!C12+C20*'⑤ 成長試算'!C9+D20*'⑤ 成長試算'!C6)</f>
        <v/>
      </c>
      <c r="I20" s="7">
        <f>IF('⑤ 成長試算'!C14="—","—",(A20*'⑤ 成長試算'!C16+B20*'⑤ 成長試算'!C13+C20*'⑤ 成長試算'!C10+D20*'⑤ 成長試算'!C7)/E20)</f>
        <v/>
      </c>
      <c r="J20" s="7">
        <f>IF('⑤ 成長試算'!G14="—","—",A20*'⑤ 成長試算'!G14+B20*'⑤ 成長試算'!G11+C20*'⑤ 成長試算'!G8+D20*'⑤ 成長試算'!G5)</f>
        <v/>
      </c>
      <c r="K20" s="7">
        <f>IF('⑤ 成長試算'!G14="—","—",A20*'⑤ 成長試算'!G15+B20*'⑤ 成長試算'!G12+C20*'⑤ 成長試算'!G9+D20*'⑤ 成長試算'!G6)</f>
        <v/>
      </c>
      <c r="L20" s="7">
        <f>IF('⑤ 成長試算'!G14="—","—",(A20*'⑤ 成長試算'!G16+B20*'⑤ 成長試算'!G13+C20*'⑤ 成長試算'!G10+D20*'⑤ 成長試算'!G7)/E20)</f>
        <v/>
      </c>
      <c r="M20" s="7">
        <f>IF('⑤ 成長試算'!L14="—","—",A20*'⑤ 成長試算'!L14+B20*'⑤ 成長試算'!L11+C20*'⑤ 成長試算'!L8+D20*'⑤ 成長試算'!L5)</f>
        <v/>
      </c>
      <c r="N20" s="7">
        <f>IF('⑤ 成長試算'!L14="—","—",A20*'⑤ 成長試算'!L15+B20*'⑤ 成長試算'!L12+C20*'⑤ 成長試算'!L9+D20*'⑤ 成長試算'!L6)</f>
        <v/>
      </c>
      <c r="O20" s="7">
        <f>IF('⑤ 成長試算'!L14="—","—",(A20*'⑤ 成長試算'!L16+B20*'⑤ 成長試算'!L13+C20*'⑤ 成長試算'!L10+D20*'⑤ 成長試算'!L7)/E20)</f>
        <v/>
      </c>
      <c r="P20" s="5" t="inlineStr"/>
    </row>
    <row r="21">
      <c r="A21" s="5" t="n">
        <v>0</v>
      </c>
      <c r="B21" s="5" t="n">
        <v>4</v>
      </c>
      <c r="C21" s="5" t="n">
        <v>0</v>
      </c>
      <c r="D21" s="5" t="n">
        <v>1</v>
      </c>
      <c r="E21" s="5" t="n">
        <v>5</v>
      </c>
      <c r="F21" s="10" t="n">
        <v>18</v>
      </c>
      <c r="G21" s="7">
        <f>IF('⑤ 成長試算'!C14="—","—",A21*'⑤ 成長試算'!C14+B21*'⑤ 成長試算'!C11+C21*'⑤ 成長試算'!C8+D21*'⑤ 成長試算'!C5)</f>
        <v/>
      </c>
      <c r="H21" s="7">
        <f>IF('⑤ 成長試算'!C14="—","—",A21*'⑤ 成長試算'!C15+B21*'⑤ 成長試算'!C12+C21*'⑤ 成長試算'!C9+D21*'⑤ 成長試算'!C6)</f>
        <v/>
      </c>
      <c r="I21" s="7">
        <f>IF('⑤ 成長試算'!C14="—","—",(A21*'⑤ 成長試算'!C16+B21*'⑤ 成長試算'!C13+C21*'⑤ 成長試算'!C10+D21*'⑤ 成長試算'!C7)/E21)</f>
        <v/>
      </c>
      <c r="J21" s="7">
        <f>IF('⑤ 成長試算'!G14="—","—",A21*'⑤ 成長試算'!G14+B21*'⑤ 成長試算'!G11+C21*'⑤ 成長試算'!G8+D21*'⑤ 成長試算'!G5)</f>
        <v/>
      </c>
      <c r="K21" s="7">
        <f>IF('⑤ 成長試算'!G14="—","—",A21*'⑤ 成長試算'!G15+B21*'⑤ 成長試算'!G12+C21*'⑤ 成長試算'!G9+D21*'⑤ 成長試算'!G6)</f>
        <v/>
      </c>
      <c r="L21" s="7">
        <f>IF('⑤ 成長試算'!G14="—","—",(A21*'⑤ 成長試算'!G16+B21*'⑤ 成長試算'!G13+C21*'⑤ 成長試算'!G10+D21*'⑤ 成長試算'!G7)/E21)</f>
        <v/>
      </c>
      <c r="M21" s="7">
        <f>IF('⑤ 成長試算'!L14="—","—",A21*'⑤ 成長試算'!L14+B21*'⑤ 成長試算'!L11+C21*'⑤ 成長試算'!L8+D21*'⑤ 成長試算'!L5)</f>
        <v/>
      </c>
      <c r="N21" s="7">
        <f>IF('⑤ 成長試算'!L14="—","—",A21*'⑤ 成長試算'!L15+B21*'⑤ 成長試算'!L12+C21*'⑤ 成長試算'!L9+D21*'⑤ 成長試算'!L6)</f>
        <v/>
      </c>
      <c r="O21" s="7">
        <f>IF('⑤ 成長試算'!L14="—","—",(A21*'⑤ 成長試算'!L16+B21*'⑤ 成長試算'!L13+C21*'⑤ 成長試算'!L10+D21*'⑤ 成長試算'!L7)/E21)</f>
        <v/>
      </c>
      <c r="P21" s="5" t="inlineStr"/>
    </row>
    <row r="22">
      <c r="A22" s="5" t="n">
        <v>0</v>
      </c>
      <c r="B22" s="5" t="n">
        <v>3</v>
      </c>
      <c r="C22" s="5" t="n">
        <v>2</v>
      </c>
      <c r="D22" s="5" t="n">
        <v>0</v>
      </c>
      <c r="E22" s="5" t="n">
        <v>5</v>
      </c>
      <c r="F22" s="10" t="n">
        <v>18</v>
      </c>
      <c r="G22" s="7">
        <f>IF('⑤ 成長試算'!C14="—","—",A22*'⑤ 成長試算'!C14+B22*'⑤ 成長試算'!C11+C22*'⑤ 成長試算'!C8+D22*'⑤ 成長試算'!C5)</f>
        <v/>
      </c>
      <c r="H22" s="7">
        <f>IF('⑤ 成長試算'!C14="—","—",A22*'⑤ 成長試算'!C15+B22*'⑤ 成長試算'!C12+C22*'⑤ 成長試算'!C9+D22*'⑤ 成長試算'!C6)</f>
        <v/>
      </c>
      <c r="I22" s="7">
        <f>IF('⑤ 成長試算'!C14="—","—",(A22*'⑤ 成長試算'!C16+B22*'⑤ 成長試算'!C13+C22*'⑤ 成長試算'!C10+D22*'⑤ 成長試算'!C7)/E22)</f>
        <v/>
      </c>
      <c r="J22" s="7">
        <f>IF('⑤ 成長試算'!G14="—","—",A22*'⑤ 成長試算'!G14+B22*'⑤ 成長試算'!G11+C22*'⑤ 成長試算'!G8+D22*'⑤ 成長試算'!G5)</f>
        <v/>
      </c>
      <c r="K22" s="7">
        <f>IF('⑤ 成長試算'!G14="—","—",A22*'⑤ 成長試算'!G15+B22*'⑤ 成長試算'!G12+C22*'⑤ 成長試算'!G9+D22*'⑤ 成長試算'!G6)</f>
        <v/>
      </c>
      <c r="L22" s="7">
        <f>IF('⑤ 成長試算'!G14="—","—",(A22*'⑤ 成長試算'!G16+B22*'⑤ 成長試算'!G13+C22*'⑤ 成長試算'!G10+D22*'⑤ 成長試算'!G7)/E22)</f>
        <v/>
      </c>
      <c r="M22" s="7">
        <f>IF('⑤ 成長試算'!L14="—","—",A22*'⑤ 成長試算'!L14+B22*'⑤ 成長試算'!L11+C22*'⑤ 成長試算'!L8+D22*'⑤ 成長試算'!L5)</f>
        <v/>
      </c>
      <c r="N22" s="7">
        <f>IF('⑤ 成長試算'!L14="—","—",A22*'⑤ 成長試算'!L15+B22*'⑤ 成長試算'!L12+C22*'⑤ 成長試算'!L9+D22*'⑤ 成長試算'!L6)</f>
        <v/>
      </c>
      <c r="O22" s="7">
        <f>IF('⑤ 成長試算'!L14="—","—",(A22*'⑤ 成長試算'!L16+B22*'⑤ 成長試算'!L13+C22*'⑤ 成長試算'!L10+D22*'⑤ 成長試算'!L7)/E22)</f>
        <v/>
      </c>
      <c r="P22" s="5" t="inlineStr"/>
    </row>
    <row r="23">
      <c r="A23" s="5" t="n">
        <v>2</v>
      </c>
      <c r="B23" s="5" t="n">
        <v>0</v>
      </c>
      <c r="C23" s="5" t="n">
        <v>1</v>
      </c>
      <c r="D23" s="5" t="n">
        <v>2</v>
      </c>
      <c r="E23" s="5" t="n">
        <v>5</v>
      </c>
      <c r="F23" s="10" t="n">
        <v>17</v>
      </c>
      <c r="G23" s="7">
        <f>IF('⑤ 成長試算'!C14="—","—",A23*'⑤ 成長試算'!C14+B23*'⑤ 成長試算'!C11+C23*'⑤ 成長試算'!C8+D23*'⑤ 成長試算'!C5)</f>
        <v/>
      </c>
      <c r="H23" s="7">
        <f>IF('⑤ 成長試算'!C14="—","—",A23*'⑤ 成長試算'!C15+B23*'⑤ 成長試算'!C12+C23*'⑤ 成長試算'!C9+D23*'⑤ 成長試算'!C6)</f>
        <v/>
      </c>
      <c r="I23" s="7">
        <f>IF('⑤ 成長試算'!C14="—","—",(A23*'⑤ 成長試算'!C16+B23*'⑤ 成長試算'!C13+C23*'⑤ 成長試算'!C10+D23*'⑤ 成長試算'!C7)/E23)</f>
        <v/>
      </c>
      <c r="J23" s="7">
        <f>IF('⑤ 成長試算'!G14="—","—",A23*'⑤ 成長試算'!G14+B23*'⑤ 成長試算'!G11+C23*'⑤ 成長試算'!G8+D23*'⑤ 成長試算'!G5)</f>
        <v/>
      </c>
      <c r="K23" s="7">
        <f>IF('⑤ 成長試算'!G14="—","—",A23*'⑤ 成長試算'!G15+B23*'⑤ 成長試算'!G12+C23*'⑤ 成長試算'!G9+D23*'⑤ 成長試算'!G6)</f>
        <v/>
      </c>
      <c r="L23" s="7">
        <f>IF('⑤ 成長試算'!G14="—","—",(A23*'⑤ 成長試算'!G16+B23*'⑤ 成長試算'!G13+C23*'⑤ 成長試算'!G10+D23*'⑤ 成長試算'!G7)/E23)</f>
        <v/>
      </c>
      <c r="M23" s="7">
        <f>IF('⑤ 成長試算'!L14="—","—",A23*'⑤ 成長試算'!L14+B23*'⑤ 成長試算'!L11+C23*'⑤ 成長試算'!L8+D23*'⑤ 成長試算'!L5)</f>
        <v/>
      </c>
      <c r="N23" s="7">
        <f>IF('⑤ 成長試算'!L14="—","—",A23*'⑤ 成長試算'!L15+B23*'⑤ 成長試算'!L12+C23*'⑤ 成長試算'!L9+D23*'⑤ 成長試算'!L6)</f>
        <v/>
      </c>
      <c r="O23" s="7">
        <f>IF('⑤ 成長試算'!L14="—","—",(A23*'⑤ 成長試算'!L16+B23*'⑤ 成長試算'!L13+C23*'⑤ 成長試算'!L10+D23*'⑤ 成長試算'!L7)/E23)</f>
        <v/>
      </c>
      <c r="P23" s="5" t="inlineStr"/>
    </row>
    <row r="24">
      <c r="A24" s="5" t="n">
        <v>1</v>
      </c>
      <c r="B24" s="5" t="n">
        <v>2</v>
      </c>
      <c r="C24" s="5" t="n">
        <v>0</v>
      </c>
      <c r="D24" s="5" t="n">
        <v>2</v>
      </c>
      <c r="E24" s="5" t="n">
        <v>5</v>
      </c>
      <c r="F24" s="10" t="n">
        <v>17</v>
      </c>
      <c r="G24" s="7">
        <f>IF('⑤ 成長試算'!C14="—","—",A24*'⑤ 成長試算'!C14+B24*'⑤ 成長試算'!C11+C24*'⑤ 成長試算'!C8+D24*'⑤ 成長試算'!C5)</f>
        <v/>
      </c>
      <c r="H24" s="7">
        <f>IF('⑤ 成長試算'!C14="—","—",A24*'⑤ 成長試算'!C15+B24*'⑤ 成長試算'!C12+C24*'⑤ 成長試算'!C9+D24*'⑤ 成長試算'!C6)</f>
        <v/>
      </c>
      <c r="I24" s="7">
        <f>IF('⑤ 成長試算'!C14="—","—",(A24*'⑤ 成長試算'!C16+B24*'⑤ 成長試算'!C13+C24*'⑤ 成長試算'!C10+D24*'⑤ 成長試算'!C7)/E24)</f>
        <v/>
      </c>
      <c r="J24" s="7">
        <f>IF('⑤ 成長試算'!G14="—","—",A24*'⑤ 成長試算'!G14+B24*'⑤ 成長試算'!G11+C24*'⑤ 成長試算'!G8+D24*'⑤ 成長試算'!G5)</f>
        <v/>
      </c>
      <c r="K24" s="7">
        <f>IF('⑤ 成長試算'!G14="—","—",A24*'⑤ 成長試算'!G15+B24*'⑤ 成長試算'!G12+C24*'⑤ 成長試算'!G9+D24*'⑤ 成長試算'!G6)</f>
        <v/>
      </c>
      <c r="L24" s="7">
        <f>IF('⑤ 成長試算'!G14="—","—",(A24*'⑤ 成長試算'!G16+B24*'⑤ 成長試算'!G13+C24*'⑤ 成長試算'!G10+D24*'⑤ 成長試算'!G7)/E24)</f>
        <v/>
      </c>
      <c r="M24" s="7">
        <f>IF('⑤ 成長試算'!L14="—","—",A24*'⑤ 成長試算'!L14+B24*'⑤ 成長試算'!L11+C24*'⑤ 成長試算'!L8+D24*'⑤ 成長試算'!L5)</f>
        <v/>
      </c>
      <c r="N24" s="7">
        <f>IF('⑤ 成長試算'!L14="—","—",A24*'⑤ 成長試算'!L15+B24*'⑤ 成長試算'!L12+C24*'⑤ 成長試算'!L9+D24*'⑤ 成長試算'!L6)</f>
        <v/>
      </c>
      <c r="O24" s="7">
        <f>IF('⑤ 成長試算'!L14="—","—",(A24*'⑤ 成長試算'!L16+B24*'⑤ 成長試算'!L13+C24*'⑤ 成長試算'!L10+D24*'⑤ 成長試算'!L7)/E24)</f>
        <v/>
      </c>
      <c r="P24" s="5" t="inlineStr"/>
    </row>
    <row r="25">
      <c r="A25" s="5" t="n">
        <v>1</v>
      </c>
      <c r="B25" s="5" t="n">
        <v>1</v>
      </c>
      <c r="C25" s="5" t="n">
        <v>2</v>
      </c>
      <c r="D25" s="5" t="n">
        <v>1</v>
      </c>
      <c r="E25" s="5" t="n">
        <v>5</v>
      </c>
      <c r="F25" s="10" t="n">
        <v>17</v>
      </c>
      <c r="G25" s="7">
        <f>IF('⑤ 成長試算'!C14="—","—",A25*'⑤ 成長試算'!C14+B25*'⑤ 成長試算'!C11+C25*'⑤ 成長試算'!C8+D25*'⑤ 成長試算'!C5)</f>
        <v/>
      </c>
      <c r="H25" s="7">
        <f>IF('⑤ 成長試算'!C14="—","—",A25*'⑤ 成長試算'!C15+B25*'⑤ 成長試算'!C12+C25*'⑤ 成長試算'!C9+D25*'⑤ 成長試算'!C6)</f>
        <v/>
      </c>
      <c r="I25" s="7">
        <f>IF('⑤ 成長試算'!C14="—","—",(A25*'⑤ 成長試算'!C16+B25*'⑤ 成長試算'!C13+C25*'⑤ 成長試算'!C10+D25*'⑤ 成長試算'!C7)/E25)</f>
        <v/>
      </c>
      <c r="J25" s="7">
        <f>IF('⑤ 成長試算'!G14="—","—",A25*'⑤ 成長試算'!G14+B25*'⑤ 成長試算'!G11+C25*'⑤ 成長試算'!G8+D25*'⑤ 成長試算'!G5)</f>
        <v/>
      </c>
      <c r="K25" s="7">
        <f>IF('⑤ 成長試算'!G14="—","—",A25*'⑤ 成長試算'!G15+B25*'⑤ 成長試算'!G12+C25*'⑤ 成長試算'!G9+D25*'⑤ 成長試算'!G6)</f>
        <v/>
      </c>
      <c r="L25" s="7">
        <f>IF('⑤ 成長試算'!G14="—","—",(A25*'⑤ 成長試算'!G16+B25*'⑤ 成長試算'!G13+C25*'⑤ 成長試算'!G10+D25*'⑤ 成長試算'!G7)/E25)</f>
        <v/>
      </c>
      <c r="M25" s="7">
        <f>IF('⑤ 成長試算'!L14="—","—",A25*'⑤ 成長試算'!L14+B25*'⑤ 成長試算'!L11+C25*'⑤ 成長試算'!L8+D25*'⑤ 成長試算'!L5)</f>
        <v/>
      </c>
      <c r="N25" s="7">
        <f>IF('⑤ 成長試算'!L14="—","—",A25*'⑤ 成長試算'!L15+B25*'⑤ 成長試算'!L12+C25*'⑤ 成長試算'!L9+D25*'⑤ 成長試算'!L6)</f>
        <v/>
      </c>
      <c r="O25" s="7">
        <f>IF('⑤ 成長試算'!L14="—","—",(A25*'⑤ 成長試算'!L16+B25*'⑤ 成長試算'!L13+C25*'⑤ 成長試算'!L10+D25*'⑤ 成長試算'!L7)/E25)</f>
        <v/>
      </c>
      <c r="P25" s="5" t="inlineStr"/>
    </row>
    <row r="26">
      <c r="A26" s="5" t="n">
        <v>1</v>
      </c>
      <c r="B26" s="5" t="n">
        <v>0</v>
      </c>
      <c r="C26" s="5" t="n">
        <v>4</v>
      </c>
      <c r="D26" s="5" t="n">
        <v>0</v>
      </c>
      <c r="E26" s="5" t="n">
        <v>5</v>
      </c>
      <c r="F26" s="10" t="n">
        <v>17</v>
      </c>
      <c r="G26" s="7">
        <f>IF('⑤ 成長試算'!C14="—","—",A26*'⑤ 成長試算'!C14+B26*'⑤ 成長試算'!C11+C26*'⑤ 成長試算'!C8+D26*'⑤ 成長試算'!C5)</f>
        <v/>
      </c>
      <c r="H26" s="7">
        <f>IF('⑤ 成長試算'!C14="—","—",A26*'⑤ 成長試算'!C15+B26*'⑤ 成長試算'!C12+C26*'⑤ 成長試算'!C9+D26*'⑤ 成長試算'!C6)</f>
        <v/>
      </c>
      <c r="I26" s="7">
        <f>IF('⑤ 成長試算'!C14="—","—",(A26*'⑤ 成長試算'!C16+B26*'⑤ 成長試算'!C13+C26*'⑤ 成長試算'!C10+D26*'⑤ 成長試算'!C7)/E26)</f>
        <v/>
      </c>
      <c r="J26" s="7">
        <f>IF('⑤ 成長試算'!G14="—","—",A26*'⑤ 成長試算'!G14+B26*'⑤ 成長試算'!G11+C26*'⑤ 成長試算'!G8+D26*'⑤ 成長試算'!G5)</f>
        <v/>
      </c>
      <c r="K26" s="7">
        <f>IF('⑤ 成長試算'!G14="—","—",A26*'⑤ 成長試算'!G15+B26*'⑤ 成長試算'!G12+C26*'⑤ 成長試算'!G9+D26*'⑤ 成長試算'!G6)</f>
        <v/>
      </c>
      <c r="L26" s="7">
        <f>IF('⑤ 成長試算'!G14="—","—",(A26*'⑤ 成長試算'!G16+B26*'⑤ 成長試算'!G13+C26*'⑤ 成長試算'!G10+D26*'⑤ 成長試算'!G7)/E26)</f>
        <v/>
      </c>
      <c r="M26" s="7">
        <f>IF('⑤ 成長試算'!L14="—","—",A26*'⑤ 成長試算'!L14+B26*'⑤ 成長試算'!L11+C26*'⑤ 成長試算'!L8+D26*'⑤ 成長試算'!L5)</f>
        <v/>
      </c>
      <c r="N26" s="7">
        <f>IF('⑤ 成長試算'!L14="—","—",A26*'⑤ 成長試算'!L15+B26*'⑤ 成長試算'!L12+C26*'⑤ 成長試算'!L9+D26*'⑤ 成長試算'!L6)</f>
        <v/>
      </c>
      <c r="O26" s="7">
        <f>IF('⑤ 成長試算'!L14="—","—",(A26*'⑤ 成長試算'!L16+B26*'⑤ 成長試算'!L13+C26*'⑤ 成長試算'!L10+D26*'⑤ 成長試算'!L7)/E26)</f>
        <v/>
      </c>
      <c r="P26" s="5" t="inlineStr"/>
    </row>
    <row r="27">
      <c r="A27" s="5" t="n">
        <v>0</v>
      </c>
      <c r="B27" s="5" t="n">
        <v>3</v>
      </c>
      <c r="C27" s="5" t="n">
        <v>1</v>
      </c>
      <c r="D27" s="5" t="n">
        <v>1</v>
      </c>
      <c r="E27" s="5" t="n">
        <v>5</v>
      </c>
      <c r="F27" s="10" t="n">
        <v>17</v>
      </c>
      <c r="G27" s="7">
        <f>IF('⑤ 成長試算'!C14="—","—",A27*'⑤ 成長試算'!C14+B27*'⑤ 成長試算'!C11+C27*'⑤ 成長試算'!C8+D27*'⑤ 成長試算'!C5)</f>
        <v/>
      </c>
      <c r="H27" s="7">
        <f>IF('⑤ 成長試算'!C14="—","—",A27*'⑤ 成長試算'!C15+B27*'⑤ 成長試算'!C12+C27*'⑤ 成長試算'!C9+D27*'⑤ 成長試算'!C6)</f>
        <v/>
      </c>
      <c r="I27" s="7">
        <f>IF('⑤ 成長試算'!C14="—","—",(A27*'⑤ 成長試算'!C16+B27*'⑤ 成長試算'!C13+C27*'⑤ 成長試算'!C10+D27*'⑤ 成長試算'!C7)/E27)</f>
        <v/>
      </c>
      <c r="J27" s="7">
        <f>IF('⑤ 成長試算'!G14="—","—",A27*'⑤ 成長試算'!G14+B27*'⑤ 成長試算'!G11+C27*'⑤ 成長試算'!G8+D27*'⑤ 成長試算'!G5)</f>
        <v/>
      </c>
      <c r="K27" s="7">
        <f>IF('⑤ 成長試算'!G14="—","—",A27*'⑤ 成長試算'!G15+B27*'⑤ 成長試算'!G12+C27*'⑤ 成長試算'!G9+D27*'⑤ 成長試算'!G6)</f>
        <v/>
      </c>
      <c r="L27" s="7">
        <f>IF('⑤ 成長試算'!G14="—","—",(A27*'⑤ 成長試算'!G16+B27*'⑤ 成長試算'!G13+C27*'⑤ 成長試算'!G10+D27*'⑤ 成長試算'!G7)/E27)</f>
        <v/>
      </c>
      <c r="M27" s="7">
        <f>IF('⑤ 成長試算'!L14="—","—",A27*'⑤ 成長試算'!L14+B27*'⑤ 成長試算'!L11+C27*'⑤ 成長試算'!L8+D27*'⑤ 成長試算'!L5)</f>
        <v/>
      </c>
      <c r="N27" s="7">
        <f>IF('⑤ 成長試算'!L14="—","—",A27*'⑤ 成長試算'!L15+B27*'⑤ 成長試算'!L12+C27*'⑤ 成長試算'!L9+D27*'⑤ 成長試算'!L6)</f>
        <v/>
      </c>
      <c r="O27" s="7">
        <f>IF('⑤ 成長試算'!L14="—","—",(A27*'⑤ 成長試算'!L16+B27*'⑤ 成長試算'!L13+C27*'⑤ 成長試算'!L10+D27*'⑤ 成長試算'!L7)/E27)</f>
        <v/>
      </c>
      <c r="P27" s="5" t="inlineStr"/>
    </row>
    <row r="28">
      <c r="A28" s="5" t="n">
        <v>0</v>
      </c>
      <c r="B28" s="5" t="n">
        <v>2</v>
      </c>
      <c r="C28" s="5" t="n">
        <v>3</v>
      </c>
      <c r="D28" s="5" t="n">
        <v>0</v>
      </c>
      <c r="E28" s="5" t="n">
        <v>5</v>
      </c>
      <c r="F28" s="10" t="n">
        <v>17</v>
      </c>
      <c r="G28" s="7">
        <f>IF('⑤ 成長試算'!C14="—","—",A28*'⑤ 成長試算'!C14+B28*'⑤ 成長試算'!C11+C28*'⑤ 成長試算'!C8+D28*'⑤ 成長試算'!C5)</f>
        <v/>
      </c>
      <c r="H28" s="7">
        <f>IF('⑤ 成長試算'!C14="—","—",A28*'⑤ 成長試算'!C15+B28*'⑤ 成長試算'!C12+C28*'⑤ 成長試算'!C9+D28*'⑤ 成長試算'!C6)</f>
        <v/>
      </c>
      <c r="I28" s="7">
        <f>IF('⑤ 成長試算'!C14="—","—",(A28*'⑤ 成長試算'!C16+B28*'⑤ 成長試算'!C13+C28*'⑤ 成長試算'!C10+D28*'⑤ 成長試算'!C7)/E28)</f>
        <v/>
      </c>
      <c r="J28" s="7">
        <f>IF('⑤ 成長試算'!G14="—","—",A28*'⑤ 成長試算'!G14+B28*'⑤ 成長試算'!G11+C28*'⑤ 成長試算'!G8+D28*'⑤ 成長試算'!G5)</f>
        <v/>
      </c>
      <c r="K28" s="7">
        <f>IF('⑤ 成長試算'!G14="—","—",A28*'⑤ 成長試算'!G15+B28*'⑤ 成長試算'!G12+C28*'⑤ 成長試算'!G9+D28*'⑤ 成長試算'!G6)</f>
        <v/>
      </c>
      <c r="L28" s="7">
        <f>IF('⑤ 成長試算'!G14="—","—",(A28*'⑤ 成長試算'!G16+B28*'⑤ 成長試算'!G13+C28*'⑤ 成長試算'!G10+D28*'⑤ 成長試算'!G7)/E28)</f>
        <v/>
      </c>
      <c r="M28" s="7">
        <f>IF('⑤ 成長試算'!L14="—","—",A28*'⑤ 成長試算'!L14+B28*'⑤ 成長試算'!L11+C28*'⑤ 成長試算'!L8+D28*'⑤ 成長試算'!L5)</f>
        <v/>
      </c>
      <c r="N28" s="7">
        <f>IF('⑤ 成長試算'!L14="—","—",A28*'⑤ 成長試算'!L15+B28*'⑤ 成長試算'!L12+C28*'⑤ 成長試算'!L9+D28*'⑤ 成長試算'!L6)</f>
        <v/>
      </c>
      <c r="O28" s="7">
        <f>IF('⑤ 成長試算'!L14="—","—",(A28*'⑤ 成長試算'!L16+B28*'⑤ 成長試算'!L13+C28*'⑤ 成長試算'!L10+D28*'⑤ 成長試算'!L7)/E28)</f>
        <v/>
      </c>
      <c r="P28" s="5" t="inlineStr"/>
    </row>
    <row r="29">
      <c r="A29" s="5" t="n">
        <v>2</v>
      </c>
      <c r="B29" s="5" t="n">
        <v>0</v>
      </c>
      <c r="C29" s="5" t="n">
        <v>0</v>
      </c>
      <c r="D29" s="5" t="n">
        <v>3</v>
      </c>
      <c r="E29" s="5" t="n">
        <v>5</v>
      </c>
      <c r="F29" s="10" t="n">
        <v>16</v>
      </c>
      <c r="G29" s="7">
        <f>IF('⑤ 成長試算'!C14="—","—",A29*'⑤ 成長試算'!C14+B29*'⑤ 成長試算'!C11+C29*'⑤ 成長試算'!C8+D29*'⑤ 成長試算'!C5)</f>
        <v/>
      </c>
      <c r="H29" s="7">
        <f>IF('⑤ 成長試算'!C14="—","—",A29*'⑤ 成長試算'!C15+B29*'⑤ 成長試算'!C12+C29*'⑤ 成長試算'!C9+D29*'⑤ 成長試算'!C6)</f>
        <v/>
      </c>
      <c r="I29" s="7">
        <f>IF('⑤ 成長試算'!C14="—","—",(A29*'⑤ 成長試算'!C16+B29*'⑤ 成長試算'!C13+C29*'⑤ 成長試算'!C10+D29*'⑤ 成長試算'!C7)/E29)</f>
        <v/>
      </c>
      <c r="J29" s="7">
        <f>IF('⑤ 成長試算'!G14="—","—",A29*'⑤ 成長試算'!G14+B29*'⑤ 成長試算'!G11+C29*'⑤ 成長試算'!G8+D29*'⑤ 成長試算'!G5)</f>
        <v/>
      </c>
      <c r="K29" s="7">
        <f>IF('⑤ 成長試算'!G14="—","—",A29*'⑤ 成長試算'!G15+B29*'⑤ 成長試算'!G12+C29*'⑤ 成長試算'!G9+D29*'⑤ 成長試算'!G6)</f>
        <v/>
      </c>
      <c r="L29" s="7">
        <f>IF('⑤ 成長試算'!G14="—","—",(A29*'⑤ 成長試算'!G16+B29*'⑤ 成長試算'!G13+C29*'⑤ 成長試算'!G10+D29*'⑤ 成長試算'!G7)/E29)</f>
        <v/>
      </c>
      <c r="M29" s="7">
        <f>IF('⑤ 成長試算'!L14="—","—",A29*'⑤ 成長試算'!L14+B29*'⑤ 成長試算'!L11+C29*'⑤ 成長試算'!L8+D29*'⑤ 成長試算'!L5)</f>
        <v/>
      </c>
      <c r="N29" s="7">
        <f>IF('⑤ 成長試算'!L14="—","—",A29*'⑤ 成長試算'!L15+B29*'⑤ 成長試算'!L12+C29*'⑤ 成長試算'!L9+D29*'⑤ 成長試算'!L6)</f>
        <v/>
      </c>
      <c r="O29" s="7">
        <f>IF('⑤ 成長試算'!L14="—","—",(A29*'⑤ 成長試算'!L16+B29*'⑤ 成長試算'!L13+C29*'⑤ 成長試算'!L10+D29*'⑤ 成長試算'!L7)/E29)</f>
        <v/>
      </c>
      <c r="P29" s="5" t="inlineStr"/>
    </row>
    <row r="30">
      <c r="A30" s="5" t="n">
        <v>1</v>
      </c>
      <c r="B30" s="5" t="n">
        <v>1</v>
      </c>
      <c r="C30" s="5" t="n">
        <v>1</v>
      </c>
      <c r="D30" s="5" t="n">
        <v>2</v>
      </c>
      <c r="E30" s="5" t="n">
        <v>5</v>
      </c>
      <c r="F30" s="10" t="n">
        <v>16</v>
      </c>
      <c r="G30" s="7">
        <f>IF('⑤ 成長試算'!C14="—","—",A30*'⑤ 成長試算'!C14+B30*'⑤ 成長試算'!C11+C30*'⑤ 成長試算'!C8+D30*'⑤ 成長試算'!C5)</f>
        <v/>
      </c>
      <c r="H30" s="7">
        <f>IF('⑤ 成長試算'!C14="—","—",A30*'⑤ 成長試算'!C15+B30*'⑤ 成長試算'!C12+C30*'⑤ 成長試算'!C9+D30*'⑤ 成長試算'!C6)</f>
        <v/>
      </c>
      <c r="I30" s="7">
        <f>IF('⑤ 成長試算'!C14="—","—",(A30*'⑤ 成長試算'!C16+B30*'⑤ 成長試算'!C13+C30*'⑤ 成長試算'!C10+D30*'⑤ 成長試算'!C7)/E30)</f>
        <v/>
      </c>
      <c r="J30" s="7">
        <f>IF('⑤ 成長試算'!G14="—","—",A30*'⑤ 成長試算'!G14+B30*'⑤ 成長試算'!G11+C30*'⑤ 成長試算'!G8+D30*'⑤ 成長試算'!G5)</f>
        <v/>
      </c>
      <c r="K30" s="7">
        <f>IF('⑤ 成長試算'!G14="—","—",A30*'⑤ 成長試算'!G15+B30*'⑤ 成長試算'!G12+C30*'⑤ 成長試算'!G9+D30*'⑤ 成長試算'!G6)</f>
        <v/>
      </c>
      <c r="L30" s="7">
        <f>IF('⑤ 成長試算'!G14="—","—",(A30*'⑤ 成長試算'!G16+B30*'⑤ 成長試算'!G13+C30*'⑤ 成長試算'!G10+D30*'⑤ 成長試算'!G7)/E30)</f>
        <v/>
      </c>
      <c r="M30" s="7">
        <f>IF('⑤ 成長試算'!L14="—","—",A30*'⑤ 成長試算'!L14+B30*'⑤ 成長試算'!L11+C30*'⑤ 成長試算'!L8+D30*'⑤ 成長試算'!L5)</f>
        <v/>
      </c>
      <c r="N30" s="7">
        <f>IF('⑤ 成長試算'!L14="—","—",A30*'⑤ 成長試算'!L15+B30*'⑤ 成長試算'!L12+C30*'⑤ 成長試算'!L9+D30*'⑤ 成長試算'!L6)</f>
        <v/>
      </c>
      <c r="O30" s="7">
        <f>IF('⑤ 成長試算'!L14="—","—",(A30*'⑤ 成長試算'!L16+B30*'⑤ 成長試算'!L13+C30*'⑤ 成長試算'!L10+D30*'⑤ 成長試算'!L7)/E30)</f>
        <v/>
      </c>
      <c r="P30" s="5" t="inlineStr"/>
    </row>
    <row r="31">
      <c r="A31" s="5" t="n">
        <v>1</v>
      </c>
      <c r="B31" s="5" t="n">
        <v>0</v>
      </c>
      <c r="C31" s="5" t="n">
        <v>3</v>
      </c>
      <c r="D31" s="5" t="n">
        <v>1</v>
      </c>
      <c r="E31" s="5" t="n">
        <v>5</v>
      </c>
      <c r="F31" s="10" t="n">
        <v>16</v>
      </c>
      <c r="G31" s="7">
        <f>IF('⑤ 成長試算'!C14="—","—",A31*'⑤ 成長試算'!C14+B31*'⑤ 成長試算'!C11+C31*'⑤ 成長試算'!C8+D31*'⑤ 成長試算'!C5)</f>
        <v/>
      </c>
      <c r="H31" s="7">
        <f>IF('⑤ 成長試算'!C14="—","—",A31*'⑤ 成長試算'!C15+B31*'⑤ 成長試算'!C12+C31*'⑤ 成長試算'!C9+D31*'⑤ 成長試算'!C6)</f>
        <v/>
      </c>
      <c r="I31" s="7">
        <f>IF('⑤ 成長試算'!C14="—","—",(A31*'⑤ 成長試算'!C16+B31*'⑤ 成長試算'!C13+C31*'⑤ 成長試算'!C10+D31*'⑤ 成長試算'!C7)/E31)</f>
        <v/>
      </c>
      <c r="J31" s="7">
        <f>IF('⑤ 成長試算'!G14="—","—",A31*'⑤ 成長試算'!G14+B31*'⑤ 成長試算'!G11+C31*'⑤ 成長試算'!G8+D31*'⑤ 成長試算'!G5)</f>
        <v/>
      </c>
      <c r="K31" s="7">
        <f>IF('⑤ 成長試算'!G14="—","—",A31*'⑤ 成長試算'!G15+B31*'⑤ 成長試算'!G12+C31*'⑤ 成長試算'!G9+D31*'⑤ 成長試算'!G6)</f>
        <v/>
      </c>
      <c r="L31" s="7">
        <f>IF('⑤ 成長試算'!G14="—","—",(A31*'⑤ 成長試算'!G16+B31*'⑤ 成長試算'!G13+C31*'⑤ 成長試算'!G10+D31*'⑤ 成長試算'!G7)/E31)</f>
        <v/>
      </c>
      <c r="M31" s="7">
        <f>IF('⑤ 成長試算'!L14="—","—",A31*'⑤ 成長試算'!L14+B31*'⑤ 成長試算'!L11+C31*'⑤ 成長試算'!L8+D31*'⑤ 成長試算'!L5)</f>
        <v/>
      </c>
      <c r="N31" s="7">
        <f>IF('⑤ 成長試算'!L14="—","—",A31*'⑤ 成長試算'!L15+B31*'⑤ 成長試算'!L12+C31*'⑤ 成長試算'!L9+D31*'⑤ 成長試算'!L6)</f>
        <v/>
      </c>
      <c r="O31" s="7">
        <f>IF('⑤ 成長試算'!L14="—","—",(A31*'⑤ 成長試算'!L16+B31*'⑤ 成長試算'!L13+C31*'⑤ 成長試算'!L10+D31*'⑤ 成長試算'!L7)/E31)</f>
        <v/>
      </c>
      <c r="P31" s="5" t="inlineStr"/>
    </row>
    <row r="32">
      <c r="A32" s="5" t="n">
        <v>0</v>
      </c>
      <c r="B32" s="5" t="n">
        <v>3</v>
      </c>
      <c r="C32" s="5" t="n">
        <v>0</v>
      </c>
      <c r="D32" s="5" t="n">
        <v>2</v>
      </c>
      <c r="E32" s="5" t="n">
        <v>5</v>
      </c>
      <c r="F32" s="10" t="n">
        <v>16</v>
      </c>
      <c r="G32" s="7">
        <f>IF('⑤ 成長試算'!C14="—","—",A32*'⑤ 成長試算'!C14+B32*'⑤ 成長試算'!C11+C32*'⑤ 成長試算'!C8+D32*'⑤ 成長試算'!C5)</f>
        <v/>
      </c>
      <c r="H32" s="7">
        <f>IF('⑤ 成長試算'!C14="—","—",A32*'⑤ 成長試算'!C15+B32*'⑤ 成長試算'!C12+C32*'⑤ 成長試算'!C9+D32*'⑤ 成長試算'!C6)</f>
        <v/>
      </c>
      <c r="I32" s="7">
        <f>IF('⑤ 成長試算'!C14="—","—",(A32*'⑤ 成長試算'!C16+B32*'⑤ 成長試算'!C13+C32*'⑤ 成長試算'!C10+D32*'⑤ 成長試算'!C7)/E32)</f>
        <v/>
      </c>
      <c r="J32" s="7">
        <f>IF('⑤ 成長試算'!G14="—","—",A32*'⑤ 成長試算'!G14+B32*'⑤ 成長試算'!G11+C32*'⑤ 成長試算'!G8+D32*'⑤ 成長試算'!G5)</f>
        <v/>
      </c>
      <c r="K32" s="7">
        <f>IF('⑤ 成長試算'!G14="—","—",A32*'⑤ 成長試算'!G15+B32*'⑤ 成長試算'!G12+C32*'⑤ 成長試算'!G9+D32*'⑤ 成長試算'!G6)</f>
        <v/>
      </c>
      <c r="L32" s="7">
        <f>IF('⑤ 成長試算'!G14="—","—",(A32*'⑤ 成長試算'!G16+B32*'⑤ 成長試算'!G13+C32*'⑤ 成長試算'!G10+D32*'⑤ 成長試算'!G7)/E32)</f>
        <v/>
      </c>
      <c r="M32" s="7">
        <f>IF('⑤ 成長試算'!L14="—","—",A32*'⑤ 成長試算'!L14+B32*'⑤ 成長試算'!L11+C32*'⑤ 成長試算'!L8+D32*'⑤ 成長試算'!L5)</f>
        <v/>
      </c>
      <c r="N32" s="7">
        <f>IF('⑤ 成長試算'!L14="—","—",A32*'⑤ 成長試算'!L15+B32*'⑤ 成長試算'!L12+C32*'⑤ 成長試算'!L9+D32*'⑤ 成長試算'!L6)</f>
        <v/>
      </c>
      <c r="O32" s="7">
        <f>IF('⑤ 成長試算'!L14="—","—",(A32*'⑤ 成長試算'!L16+B32*'⑤ 成長試算'!L13+C32*'⑤ 成長試算'!L10+D32*'⑤ 成長試算'!L7)/E32)</f>
        <v/>
      </c>
      <c r="P32" s="5" t="inlineStr"/>
    </row>
    <row r="33">
      <c r="A33" s="5" t="n">
        <v>0</v>
      </c>
      <c r="B33" s="5" t="n">
        <v>2</v>
      </c>
      <c r="C33" s="5" t="n">
        <v>2</v>
      </c>
      <c r="D33" s="5" t="n">
        <v>1</v>
      </c>
      <c r="E33" s="5" t="n">
        <v>5</v>
      </c>
      <c r="F33" s="10" t="n">
        <v>16</v>
      </c>
      <c r="G33" s="7">
        <f>IF('⑤ 成長試算'!C14="—","—",A33*'⑤ 成長試算'!C14+B33*'⑤ 成長試算'!C11+C33*'⑤ 成長試算'!C8+D33*'⑤ 成長試算'!C5)</f>
        <v/>
      </c>
      <c r="H33" s="7">
        <f>IF('⑤ 成長試算'!C14="—","—",A33*'⑤ 成長試算'!C15+B33*'⑤ 成長試算'!C12+C33*'⑤ 成長試算'!C9+D33*'⑤ 成長試算'!C6)</f>
        <v/>
      </c>
      <c r="I33" s="7">
        <f>IF('⑤ 成長試算'!C14="—","—",(A33*'⑤ 成長試算'!C16+B33*'⑤ 成長試算'!C13+C33*'⑤ 成長試算'!C10+D33*'⑤ 成長試算'!C7)/E33)</f>
        <v/>
      </c>
      <c r="J33" s="7">
        <f>IF('⑤ 成長試算'!G14="—","—",A33*'⑤ 成長試算'!G14+B33*'⑤ 成長試算'!G11+C33*'⑤ 成長試算'!G8+D33*'⑤ 成長試算'!G5)</f>
        <v/>
      </c>
      <c r="K33" s="7">
        <f>IF('⑤ 成長試算'!G14="—","—",A33*'⑤ 成長試算'!G15+B33*'⑤ 成長試算'!G12+C33*'⑤ 成長試算'!G9+D33*'⑤ 成長試算'!G6)</f>
        <v/>
      </c>
      <c r="L33" s="7">
        <f>IF('⑤ 成長試算'!G14="—","—",(A33*'⑤ 成長試算'!G16+B33*'⑤ 成長試算'!G13+C33*'⑤ 成長試算'!G10+D33*'⑤ 成長試算'!G7)/E33)</f>
        <v/>
      </c>
      <c r="M33" s="7">
        <f>IF('⑤ 成長試算'!L14="—","—",A33*'⑤ 成長試算'!L14+B33*'⑤ 成長試算'!L11+C33*'⑤ 成長試算'!L8+D33*'⑤ 成長試算'!L5)</f>
        <v/>
      </c>
      <c r="N33" s="7">
        <f>IF('⑤ 成長試算'!L14="—","—",A33*'⑤ 成長試算'!L15+B33*'⑤ 成長試算'!L12+C33*'⑤ 成長試算'!L9+D33*'⑤ 成長試算'!L6)</f>
        <v/>
      </c>
      <c r="O33" s="7">
        <f>IF('⑤ 成長試算'!L14="—","—",(A33*'⑤ 成長試算'!L16+B33*'⑤ 成長試算'!L13+C33*'⑤ 成長試算'!L10+D33*'⑤ 成長試算'!L7)/E33)</f>
        <v/>
      </c>
      <c r="P33" s="5" t="inlineStr"/>
    </row>
    <row r="34">
      <c r="A34" s="5" t="n">
        <v>0</v>
      </c>
      <c r="B34" s="5" t="n">
        <v>1</v>
      </c>
      <c r="C34" s="5" t="n">
        <v>4</v>
      </c>
      <c r="D34" s="5" t="n">
        <v>0</v>
      </c>
      <c r="E34" s="5" t="n">
        <v>5</v>
      </c>
      <c r="F34" s="10" t="n">
        <v>16</v>
      </c>
      <c r="G34" s="7">
        <f>IF('⑤ 成長試算'!C14="—","—",A34*'⑤ 成長試算'!C14+B34*'⑤ 成長試算'!C11+C34*'⑤ 成長試算'!C8+D34*'⑤ 成長試算'!C5)</f>
        <v/>
      </c>
      <c r="H34" s="7">
        <f>IF('⑤ 成長試算'!C14="—","—",A34*'⑤ 成長試算'!C15+B34*'⑤ 成長試算'!C12+C34*'⑤ 成長試算'!C9+D34*'⑤ 成長試算'!C6)</f>
        <v/>
      </c>
      <c r="I34" s="7">
        <f>IF('⑤ 成長試算'!C14="—","—",(A34*'⑤ 成長試算'!C16+B34*'⑤ 成長試算'!C13+C34*'⑤ 成長試算'!C10+D34*'⑤ 成長試算'!C7)/E34)</f>
        <v/>
      </c>
      <c r="J34" s="7">
        <f>IF('⑤ 成長試算'!G14="—","—",A34*'⑤ 成長試算'!G14+B34*'⑤ 成長試算'!G11+C34*'⑤ 成長試算'!G8+D34*'⑤ 成長試算'!G5)</f>
        <v/>
      </c>
      <c r="K34" s="7">
        <f>IF('⑤ 成長試算'!G14="—","—",A34*'⑤ 成長試算'!G15+B34*'⑤ 成長試算'!G12+C34*'⑤ 成長試算'!G9+D34*'⑤ 成長試算'!G6)</f>
        <v/>
      </c>
      <c r="L34" s="7">
        <f>IF('⑤ 成長試算'!G14="—","—",(A34*'⑤ 成長試算'!G16+B34*'⑤ 成長試算'!G13+C34*'⑤ 成長試算'!G10+D34*'⑤ 成長試算'!G7)/E34)</f>
        <v/>
      </c>
      <c r="M34" s="7">
        <f>IF('⑤ 成長試算'!L14="—","—",A34*'⑤ 成長試算'!L14+B34*'⑤ 成長試算'!L11+C34*'⑤ 成長試算'!L8+D34*'⑤ 成長試算'!L5)</f>
        <v/>
      </c>
      <c r="N34" s="7">
        <f>IF('⑤ 成長試算'!L14="—","—",A34*'⑤ 成長試算'!L15+B34*'⑤ 成長試算'!L12+C34*'⑤ 成長試算'!L9+D34*'⑤ 成長試算'!L6)</f>
        <v/>
      </c>
      <c r="O34" s="7">
        <f>IF('⑤ 成長試算'!L14="—","—",(A34*'⑤ 成長試算'!L16+B34*'⑤ 成長試算'!L13+C34*'⑤ 成長試算'!L10+D34*'⑤ 成長試算'!L7)/E34)</f>
        <v/>
      </c>
      <c r="P34" s="5" t="inlineStr"/>
    </row>
    <row r="35">
      <c r="A35" s="5" t="n">
        <v>1</v>
      </c>
      <c r="B35" s="5" t="n">
        <v>1</v>
      </c>
      <c r="C35" s="5" t="n">
        <v>0</v>
      </c>
      <c r="D35" s="5" t="n">
        <v>3</v>
      </c>
      <c r="E35" s="5" t="n">
        <v>5</v>
      </c>
      <c r="F35" s="10" t="n">
        <v>15</v>
      </c>
      <c r="G35" s="7">
        <f>IF('⑤ 成長試算'!C14="—","—",A35*'⑤ 成長試算'!C14+B35*'⑤ 成長試算'!C11+C35*'⑤ 成長試算'!C8+D35*'⑤ 成長試算'!C5)</f>
        <v/>
      </c>
      <c r="H35" s="7">
        <f>IF('⑤ 成長試算'!C14="—","—",A35*'⑤ 成長試算'!C15+B35*'⑤ 成長試算'!C12+C35*'⑤ 成長試算'!C9+D35*'⑤ 成長試算'!C6)</f>
        <v/>
      </c>
      <c r="I35" s="7">
        <f>IF('⑤ 成長試算'!C14="—","—",(A35*'⑤ 成長試算'!C16+B35*'⑤ 成長試算'!C13+C35*'⑤ 成長試算'!C10+D35*'⑤ 成長試算'!C7)/E35)</f>
        <v/>
      </c>
      <c r="J35" s="7">
        <f>IF('⑤ 成長試算'!G14="—","—",A35*'⑤ 成長試算'!G14+B35*'⑤ 成長試算'!G11+C35*'⑤ 成長試算'!G8+D35*'⑤ 成長試算'!G5)</f>
        <v/>
      </c>
      <c r="K35" s="7">
        <f>IF('⑤ 成長試算'!G14="—","—",A35*'⑤ 成長試算'!G15+B35*'⑤ 成長試算'!G12+C35*'⑤ 成長試算'!G9+D35*'⑤ 成長試算'!G6)</f>
        <v/>
      </c>
      <c r="L35" s="7">
        <f>IF('⑤ 成長試算'!G14="—","—",(A35*'⑤ 成長試算'!G16+B35*'⑤ 成長試算'!G13+C35*'⑤ 成長試算'!G10+D35*'⑤ 成長試算'!G7)/E35)</f>
        <v/>
      </c>
      <c r="M35" s="7">
        <f>IF('⑤ 成長試算'!L14="—","—",A35*'⑤ 成長試算'!L14+B35*'⑤ 成長試算'!L11+C35*'⑤ 成長試算'!L8+D35*'⑤ 成長試算'!L5)</f>
        <v/>
      </c>
      <c r="N35" s="7">
        <f>IF('⑤ 成長試算'!L14="—","—",A35*'⑤ 成長試算'!L15+B35*'⑤ 成長試算'!L12+C35*'⑤ 成長試算'!L9+D35*'⑤ 成長試算'!L6)</f>
        <v/>
      </c>
      <c r="O35" s="7">
        <f>IF('⑤ 成長試算'!L14="—","—",(A35*'⑤ 成長試算'!L16+B35*'⑤ 成長試算'!L13+C35*'⑤ 成長試算'!L10+D35*'⑤ 成長試算'!L7)/E35)</f>
        <v/>
      </c>
      <c r="P35" s="5" t="inlineStr"/>
    </row>
    <row r="36">
      <c r="A36" s="5" t="n">
        <v>1</v>
      </c>
      <c r="B36" s="5" t="n">
        <v>0</v>
      </c>
      <c r="C36" s="5" t="n">
        <v>2</v>
      </c>
      <c r="D36" s="5" t="n">
        <v>2</v>
      </c>
      <c r="E36" s="5" t="n">
        <v>5</v>
      </c>
      <c r="F36" s="10" t="n">
        <v>15</v>
      </c>
      <c r="G36" s="7">
        <f>IF('⑤ 成長試算'!C14="—","—",A36*'⑤ 成長試算'!C14+B36*'⑤ 成長試算'!C11+C36*'⑤ 成長試算'!C8+D36*'⑤ 成長試算'!C5)</f>
        <v/>
      </c>
      <c r="H36" s="7">
        <f>IF('⑤ 成長試算'!C14="—","—",A36*'⑤ 成長試算'!C15+B36*'⑤ 成長試算'!C12+C36*'⑤ 成長試算'!C9+D36*'⑤ 成長試算'!C6)</f>
        <v/>
      </c>
      <c r="I36" s="7">
        <f>IF('⑤ 成長試算'!C14="—","—",(A36*'⑤ 成長試算'!C16+B36*'⑤ 成長試算'!C13+C36*'⑤ 成長試算'!C10+D36*'⑤ 成長試算'!C7)/E36)</f>
        <v/>
      </c>
      <c r="J36" s="7">
        <f>IF('⑤ 成長試算'!G14="—","—",A36*'⑤ 成長試算'!G14+B36*'⑤ 成長試算'!G11+C36*'⑤ 成長試算'!G8+D36*'⑤ 成長試算'!G5)</f>
        <v/>
      </c>
      <c r="K36" s="7">
        <f>IF('⑤ 成長試算'!G14="—","—",A36*'⑤ 成長試算'!G15+B36*'⑤ 成長試算'!G12+C36*'⑤ 成長試算'!G9+D36*'⑤ 成長試算'!G6)</f>
        <v/>
      </c>
      <c r="L36" s="7">
        <f>IF('⑤ 成長試算'!G14="—","—",(A36*'⑤ 成長試算'!G16+B36*'⑤ 成長試算'!G13+C36*'⑤ 成長試算'!G10+D36*'⑤ 成長試算'!G7)/E36)</f>
        <v/>
      </c>
      <c r="M36" s="7">
        <f>IF('⑤ 成長試算'!L14="—","—",A36*'⑤ 成長試算'!L14+B36*'⑤ 成長試算'!L11+C36*'⑤ 成長試算'!L8+D36*'⑤ 成長試算'!L5)</f>
        <v/>
      </c>
      <c r="N36" s="7">
        <f>IF('⑤ 成長試算'!L14="—","—",A36*'⑤ 成長試算'!L15+B36*'⑤ 成長試算'!L12+C36*'⑤ 成長試算'!L9+D36*'⑤ 成長試算'!L6)</f>
        <v/>
      </c>
      <c r="O36" s="7">
        <f>IF('⑤ 成長試算'!L14="—","—",(A36*'⑤ 成長試算'!L16+B36*'⑤ 成長試算'!L13+C36*'⑤ 成長試算'!L10+D36*'⑤ 成長試算'!L7)/E36)</f>
        <v/>
      </c>
      <c r="P36" s="5" t="inlineStr"/>
    </row>
    <row r="37">
      <c r="A37" s="5" t="n">
        <v>0</v>
      </c>
      <c r="B37" s="5" t="n">
        <v>2</v>
      </c>
      <c r="C37" s="5" t="n">
        <v>1</v>
      </c>
      <c r="D37" s="5" t="n">
        <v>2</v>
      </c>
      <c r="E37" s="5" t="n">
        <v>5</v>
      </c>
      <c r="F37" s="10" t="n">
        <v>15</v>
      </c>
      <c r="G37" s="7">
        <f>IF('⑤ 成長試算'!C14="—","—",A37*'⑤ 成長試算'!C14+B37*'⑤ 成長試算'!C11+C37*'⑤ 成長試算'!C8+D37*'⑤ 成長試算'!C5)</f>
        <v/>
      </c>
      <c r="H37" s="7">
        <f>IF('⑤ 成長試算'!C14="—","—",A37*'⑤ 成長試算'!C15+B37*'⑤ 成長試算'!C12+C37*'⑤ 成長試算'!C9+D37*'⑤ 成長試算'!C6)</f>
        <v/>
      </c>
      <c r="I37" s="7">
        <f>IF('⑤ 成長試算'!C14="—","—",(A37*'⑤ 成長試算'!C16+B37*'⑤ 成長試算'!C13+C37*'⑤ 成長試算'!C10+D37*'⑤ 成長試算'!C7)/E37)</f>
        <v/>
      </c>
      <c r="J37" s="7">
        <f>IF('⑤ 成長試算'!G14="—","—",A37*'⑤ 成長試算'!G14+B37*'⑤ 成長試算'!G11+C37*'⑤ 成長試算'!G8+D37*'⑤ 成長試算'!G5)</f>
        <v/>
      </c>
      <c r="K37" s="7">
        <f>IF('⑤ 成長試算'!G14="—","—",A37*'⑤ 成長試算'!G15+B37*'⑤ 成長試算'!G12+C37*'⑤ 成長試算'!G9+D37*'⑤ 成長試算'!G6)</f>
        <v/>
      </c>
      <c r="L37" s="7">
        <f>IF('⑤ 成長試算'!G14="—","—",(A37*'⑤ 成長試算'!G16+B37*'⑤ 成長試算'!G13+C37*'⑤ 成長試算'!G10+D37*'⑤ 成長試算'!G7)/E37)</f>
        <v/>
      </c>
      <c r="M37" s="7">
        <f>IF('⑤ 成長試算'!L14="—","—",A37*'⑤ 成長試算'!L14+B37*'⑤ 成長試算'!L11+C37*'⑤ 成長試算'!L8+D37*'⑤ 成長試算'!L5)</f>
        <v/>
      </c>
      <c r="N37" s="7">
        <f>IF('⑤ 成長試算'!L14="—","—",A37*'⑤ 成長試算'!L15+B37*'⑤ 成長試算'!L12+C37*'⑤ 成長試算'!L9+D37*'⑤ 成長試算'!L6)</f>
        <v/>
      </c>
      <c r="O37" s="7">
        <f>IF('⑤ 成長試算'!L14="—","—",(A37*'⑤ 成長試算'!L16+B37*'⑤ 成長試算'!L13+C37*'⑤ 成長試算'!L10+D37*'⑤ 成長試算'!L7)/E37)</f>
        <v/>
      </c>
      <c r="P37" s="5" t="inlineStr"/>
    </row>
    <row r="38">
      <c r="A38" s="5" t="n">
        <v>0</v>
      </c>
      <c r="B38" s="5" t="n">
        <v>1</v>
      </c>
      <c r="C38" s="5" t="n">
        <v>3</v>
      </c>
      <c r="D38" s="5" t="n">
        <v>1</v>
      </c>
      <c r="E38" s="5" t="n">
        <v>5</v>
      </c>
      <c r="F38" s="10" t="n">
        <v>15</v>
      </c>
      <c r="G38" s="7">
        <f>IF('⑤ 成長試算'!C14="—","—",A38*'⑤ 成長試算'!C14+B38*'⑤ 成長試算'!C11+C38*'⑤ 成長試算'!C8+D38*'⑤ 成長試算'!C5)</f>
        <v/>
      </c>
      <c r="H38" s="7">
        <f>IF('⑤ 成長試算'!C14="—","—",A38*'⑤ 成長試算'!C15+B38*'⑤ 成長試算'!C12+C38*'⑤ 成長試算'!C9+D38*'⑤ 成長試算'!C6)</f>
        <v/>
      </c>
      <c r="I38" s="7">
        <f>IF('⑤ 成長試算'!C14="—","—",(A38*'⑤ 成長試算'!C16+B38*'⑤ 成長試算'!C13+C38*'⑤ 成長試算'!C10+D38*'⑤ 成長試算'!C7)/E38)</f>
        <v/>
      </c>
      <c r="J38" s="7">
        <f>IF('⑤ 成長試算'!G14="—","—",A38*'⑤ 成長試算'!G14+B38*'⑤ 成長試算'!G11+C38*'⑤ 成長試算'!G8+D38*'⑤ 成長試算'!G5)</f>
        <v/>
      </c>
      <c r="K38" s="7">
        <f>IF('⑤ 成長試算'!G14="—","—",A38*'⑤ 成長試算'!G15+B38*'⑤ 成長試算'!G12+C38*'⑤ 成長試算'!G9+D38*'⑤ 成長試算'!G6)</f>
        <v/>
      </c>
      <c r="L38" s="7">
        <f>IF('⑤ 成長試算'!G14="—","—",(A38*'⑤ 成長試算'!G16+B38*'⑤ 成長試算'!G13+C38*'⑤ 成長試算'!G10+D38*'⑤ 成長試算'!G7)/E38)</f>
        <v/>
      </c>
      <c r="M38" s="7">
        <f>IF('⑤ 成長試算'!L14="—","—",A38*'⑤ 成長試算'!L14+B38*'⑤ 成長試算'!L11+C38*'⑤ 成長試算'!L8+D38*'⑤ 成長試算'!L5)</f>
        <v/>
      </c>
      <c r="N38" s="7">
        <f>IF('⑤ 成長試算'!L14="—","—",A38*'⑤ 成長試算'!L15+B38*'⑤ 成長試算'!L12+C38*'⑤ 成長試算'!L9+D38*'⑤ 成長試算'!L6)</f>
        <v/>
      </c>
      <c r="O38" s="7">
        <f>IF('⑤ 成長試算'!L14="—","—",(A38*'⑤ 成長試算'!L16+B38*'⑤ 成長試算'!L13+C38*'⑤ 成長試算'!L10+D38*'⑤ 成長試算'!L7)/E38)</f>
        <v/>
      </c>
      <c r="P38" s="5" t="inlineStr"/>
    </row>
    <row r="39">
      <c r="A39" s="5" t="n">
        <v>0</v>
      </c>
      <c r="B39" s="5" t="n">
        <v>0</v>
      </c>
      <c r="C39" s="5" t="n">
        <v>5</v>
      </c>
      <c r="D39" s="5" t="n">
        <v>0</v>
      </c>
      <c r="E39" s="5" t="n">
        <v>5</v>
      </c>
      <c r="F39" s="10" t="n">
        <v>15</v>
      </c>
      <c r="G39" s="7">
        <f>IF('⑤ 成長試算'!C14="—","—",A39*'⑤ 成長試算'!C14+B39*'⑤ 成長試算'!C11+C39*'⑤ 成長試算'!C8+D39*'⑤ 成長試算'!C5)</f>
        <v/>
      </c>
      <c r="H39" s="7">
        <f>IF('⑤ 成長試算'!C14="—","—",A39*'⑤ 成長試算'!C15+B39*'⑤ 成長試算'!C12+C39*'⑤ 成長試算'!C9+D39*'⑤ 成長試算'!C6)</f>
        <v/>
      </c>
      <c r="I39" s="7">
        <f>IF('⑤ 成長試算'!C14="—","—",(A39*'⑤ 成長試算'!C16+B39*'⑤ 成長試算'!C13+C39*'⑤ 成長試算'!C10+D39*'⑤ 成長試算'!C7)/E39)</f>
        <v/>
      </c>
      <c r="J39" s="7">
        <f>IF('⑤ 成長試算'!G14="—","—",A39*'⑤ 成長試算'!G14+B39*'⑤ 成長試算'!G11+C39*'⑤ 成長試算'!G8+D39*'⑤ 成長試算'!G5)</f>
        <v/>
      </c>
      <c r="K39" s="7">
        <f>IF('⑤ 成長試算'!G14="—","—",A39*'⑤ 成長試算'!G15+B39*'⑤ 成長試算'!G12+C39*'⑤ 成長試算'!G9+D39*'⑤ 成長試算'!G6)</f>
        <v/>
      </c>
      <c r="L39" s="7">
        <f>IF('⑤ 成長試算'!G14="—","—",(A39*'⑤ 成長試算'!G16+B39*'⑤ 成長試算'!G13+C39*'⑤ 成長試算'!G10+D39*'⑤ 成長試算'!G7)/E39)</f>
        <v/>
      </c>
      <c r="M39" s="7">
        <f>IF('⑤ 成長試算'!L14="—","—",A39*'⑤ 成長試算'!L14+B39*'⑤ 成長試算'!L11+C39*'⑤ 成長試算'!L8+D39*'⑤ 成長試算'!L5)</f>
        <v/>
      </c>
      <c r="N39" s="7">
        <f>IF('⑤ 成長試算'!L14="—","—",A39*'⑤ 成長試算'!L15+B39*'⑤ 成長試算'!L12+C39*'⑤ 成長試算'!L9+D39*'⑤ 成長試算'!L6)</f>
        <v/>
      </c>
      <c r="O39" s="7">
        <f>IF('⑤ 成長試算'!L14="—","—",(A39*'⑤ 成長試算'!L16+B39*'⑤ 成長試算'!L13+C39*'⑤ 成長試算'!L10+D39*'⑤ 成長試算'!L7)/E39)</f>
        <v/>
      </c>
      <c r="P39" s="5" t="inlineStr"/>
    </row>
    <row r="40">
      <c r="A40" s="5" t="n">
        <v>1</v>
      </c>
      <c r="B40" s="5" t="n">
        <v>0</v>
      </c>
      <c r="C40" s="5" t="n">
        <v>1</v>
      </c>
      <c r="D40" s="5" t="n">
        <v>3</v>
      </c>
      <c r="E40" s="5" t="n">
        <v>5</v>
      </c>
      <c r="F40" s="10" t="n">
        <v>14</v>
      </c>
      <c r="G40" s="7">
        <f>IF('⑤ 成長試算'!C14="—","—",A40*'⑤ 成長試算'!C14+B40*'⑤ 成長試算'!C11+C40*'⑤ 成長試算'!C8+D40*'⑤ 成長試算'!C5)</f>
        <v/>
      </c>
      <c r="H40" s="7">
        <f>IF('⑤ 成長試算'!C14="—","—",A40*'⑤ 成長試算'!C15+B40*'⑤ 成長試算'!C12+C40*'⑤ 成長試算'!C9+D40*'⑤ 成長試算'!C6)</f>
        <v/>
      </c>
      <c r="I40" s="7">
        <f>IF('⑤ 成長試算'!C14="—","—",(A40*'⑤ 成長試算'!C16+B40*'⑤ 成長試算'!C13+C40*'⑤ 成長試算'!C10+D40*'⑤ 成長試算'!C7)/E40)</f>
        <v/>
      </c>
      <c r="J40" s="7">
        <f>IF('⑤ 成長試算'!G14="—","—",A40*'⑤ 成長試算'!G14+B40*'⑤ 成長試算'!G11+C40*'⑤ 成長試算'!G8+D40*'⑤ 成長試算'!G5)</f>
        <v/>
      </c>
      <c r="K40" s="7">
        <f>IF('⑤ 成長試算'!G14="—","—",A40*'⑤ 成長試算'!G15+B40*'⑤ 成長試算'!G12+C40*'⑤ 成長試算'!G9+D40*'⑤ 成長試算'!G6)</f>
        <v/>
      </c>
      <c r="L40" s="7">
        <f>IF('⑤ 成長試算'!G14="—","—",(A40*'⑤ 成長試算'!G16+B40*'⑤ 成長試算'!G13+C40*'⑤ 成長試算'!G10+D40*'⑤ 成長試算'!G7)/E40)</f>
        <v/>
      </c>
      <c r="M40" s="7">
        <f>IF('⑤ 成長試算'!L14="—","—",A40*'⑤ 成長試算'!L14+B40*'⑤ 成長試算'!L11+C40*'⑤ 成長試算'!L8+D40*'⑤ 成長試算'!L5)</f>
        <v/>
      </c>
      <c r="N40" s="7">
        <f>IF('⑤ 成長試算'!L14="—","—",A40*'⑤ 成長試算'!L15+B40*'⑤ 成長試算'!L12+C40*'⑤ 成長試算'!L9+D40*'⑤ 成長試算'!L6)</f>
        <v/>
      </c>
      <c r="O40" s="7">
        <f>IF('⑤ 成長試算'!L14="—","—",(A40*'⑤ 成長試算'!L16+B40*'⑤ 成長試算'!L13+C40*'⑤ 成長試算'!L10+D40*'⑤ 成長試算'!L7)/E40)</f>
        <v/>
      </c>
      <c r="P40" s="5" t="inlineStr"/>
    </row>
    <row r="41">
      <c r="A41" s="5" t="n">
        <v>0</v>
      </c>
      <c r="B41" s="5" t="n">
        <v>2</v>
      </c>
      <c r="C41" s="5" t="n">
        <v>0</v>
      </c>
      <c r="D41" s="5" t="n">
        <v>3</v>
      </c>
      <c r="E41" s="5" t="n">
        <v>5</v>
      </c>
      <c r="F41" s="10" t="n">
        <v>14</v>
      </c>
      <c r="G41" s="7">
        <f>IF('⑤ 成長試算'!C14="—","—",A41*'⑤ 成長試算'!C14+B41*'⑤ 成長試算'!C11+C41*'⑤ 成長試算'!C8+D41*'⑤ 成長試算'!C5)</f>
        <v/>
      </c>
      <c r="H41" s="7">
        <f>IF('⑤ 成長試算'!C14="—","—",A41*'⑤ 成長試算'!C15+B41*'⑤ 成長試算'!C12+C41*'⑤ 成長試算'!C9+D41*'⑤ 成長試算'!C6)</f>
        <v/>
      </c>
      <c r="I41" s="7">
        <f>IF('⑤ 成長試算'!C14="—","—",(A41*'⑤ 成長試算'!C16+B41*'⑤ 成長試算'!C13+C41*'⑤ 成長試算'!C10+D41*'⑤ 成長試算'!C7)/E41)</f>
        <v/>
      </c>
      <c r="J41" s="7">
        <f>IF('⑤ 成長試算'!G14="—","—",A41*'⑤ 成長試算'!G14+B41*'⑤ 成長試算'!G11+C41*'⑤ 成長試算'!G8+D41*'⑤ 成長試算'!G5)</f>
        <v/>
      </c>
      <c r="K41" s="7">
        <f>IF('⑤ 成長試算'!G14="—","—",A41*'⑤ 成長試算'!G15+B41*'⑤ 成長試算'!G12+C41*'⑤ 成長試算'!G9+D41*'⑤ 成長試算'!G6)</f>
        <v/>
      </c>
      <c r="L41" s="7">
        <f>IF('⑤ 成長試算'!G14="—","—",(A41*'⑤ 成長試算'!G16+B41*'⑤ 成長試算'!G13+C41*'⑤ 成長試算'!G10+D41*'⑤ 成長試算'!G7)/E41)</f>
        <v/>
      </c>
      <c r="M41" s="7">
        <f>IF('⑤ 成長試算'!L14="—","—",A41*'⑤ 成長試算'!L14+B41*'⑤ 成長試算'!L11+C41*'⑤ 成長試算'!L8+D41*'⑤ 成長試算'!L5)</f>
        <v/>
      </c>
      <c r="N41" s="7">
        <f>IF('⑤ 成長試算'!L14="—","—",A41*'⑤ 成長試算'!L15+B41*'⑤ 成長試算'!L12+C41*'⑤ 成長試算'!L9+D41*'⑤ 成長試算'!L6)</f>
        <v/>
      </c>
      <c r="O41" s="7">
        <f>IF('⑤ 成長試算'!L14="—","—",(A41*'⑤ 成長試算'!L16+B41*'⑤ 成長試算'!L13+C41*'⑤ 成長試算'!L10+D41*'⑤ 成長試算'!L7)/E41)</f>
        <v/>
      </c>
      <c r="P41" s="5" t="inlineStr"/>
    </row>
    <row r="42">
      <c r="A42" s="5" t="n">
        <v>0</v>
      </c>
      <c r="B42" s="5" t="n">
        <v>1</v>
      </c>
      <c r="C42" s="5" t="n">
        <v>2</v>
      </c>
      <c r="D42" s="5" t="n">
        <v>2</v>
      </c>
      <c r="E42" s="5" t="n">
        <v>5</v>
      </c>
      <c r="F42" s="10" t="n">
        <v>14</v>
      </c>
      <c r="G42" s="7">
        <f>IF('⑤ 成長試算'!C14="—","—",A42*'⑤ 成長試算'!C14+B42*'⑤ 成長試算'!C11+C42*'⑤ 成長試算'!C8+D42*'⑤ 成長試算'!C5)</f>
        <v/>
      </c>
      <c r="H42" s="7">
        <f>IF('⑤ 成長試算'!C14="—","—",A42*'⑤ 成長試算'!C15+B42*'⑤ 成長試算'!C12+C42*'⑤ 成長試算'!C9+D42*'⑤ 成長試算'!C6)</f>
        <v/>
      </c>
      <c r="I42" s="7">
        <f>IF('⑤ 成長試算'!C14="—","—",(A42*'⑤ 成長試算'!C16+B42*'⑤ 成長試算'!C13+C42*'⑤ 成長試算'!C10+D42*'⑤ 成長試算'!C7)/E42)</f>
        <v/>
      </c>
      <c r="J42" s="7">
        <f>IF('⑤ 成長試算'!G14="—","—",A42*'⑤ 成長試算'!G14+B42*'⑤ 成長試算'!G11+C42*'⑤ 成長試算'!G8+D42*'⑤ 成長試算'!G5)</f>
        <v/>
      </c>
      <c r="K42" s="7">
        <f>IF('⑤ 成長試算'!G14="—","—",A42*'⑤ 成長試算'!G15+B42*'⑤ 成長試算'!G12+C42*'⑤ 成長試算'!G9+D42*'⑤ 成長試算'!G6)</f>
        <v/>
      </c>
      <c r="L42" s="7">
        <f>IF('⑤ 成長試算'!G14="—","—",(A42*'⑤ 成長試算'!G16+B42*'⑤ 成長試算'!G13+C42*'⑤ 成長試算'!G10+D42*'⑤ 成長試算'!G7)/E42)</f>
        <v/>
      </c>
      <c r="M42" s="7">
        <f>IF('⑤ 成長試算'!L14="—","—",A42*'⑤ 成長試算'!L14+B42*'⑤ 成長試算'!L11+C42*'⑤ 成長試算'!L8+D42*'⑤ 成長試算'!L5)</f>
        <v/>
      </c>
      <c r="N42" s="7">
        <f>IF('⑤ 成長試算'!L14="—","—",A42*'⑤ 成長試算'!L15+B42*'⑤ 成長試算'!L12+C42*'⑤ 成長試算'!L9+D42*'⑤ 成長試算'!L6)</f>
        <v/>
      </c>
      <c r="O42" s="7">
        <f>IF('⑤ 成長試算'!L14="—","—",(A42*'⑤ 成長試算'!L16+B42*'⑤ 成長試算'!L13+C42*'⑤ 成長試算'!L10+D42*'⑤ 成長試算'!L7)/E42)</f>
        <v/>
      </c>
      <c r="P42" s="5" t="inlineStr"/>
    </row>
    <row r="43">
      <c r="A43" s="5" t="n">
        <v>0</v>
      </c>
      <c r="B43" s="5" t="n">
        <v>0</v>
      </c>
      <c r="C43" s="5" t="n">
        <v>4</v>
      </c>
      <c r="D43" s="5" t="n">
        <v>1</v>
      </c>
      <c r="E43" s="5" t="n">
        <v>5</v>
      </c>
      <c r="F43" s="10" t="n">
        <v>14</v>
      </c>
      <c r="G43" s="7">
        <f>IF('⑤ 成長試算'!C14="—","—",A43*'⑤ 成長試算'!C14+B43*'⑤ 成長試算'!C11+C43*'⑤ 成長試算'!C8+D43*'⑤ 成長試算'!C5)</f>
        <v/>
      </c>
      <c r="H43" s="7">
        <f>IF('⑤ 成長試算'!C14="—","—",A43*'⑤ 成長試算'!C15+B43*'⑤ 成長試算'!C12+C43*'⑤ 成長試算'!C9+D43*'⑤ 成長試算'!C6)</f>
        <v/>
      </c>
      <c r="I43" s="7">
        <f>IF('⑤ 成長試算'!C14="—","—",(A43*'⑤ 成長試算'!C16+B43*'⑤ 成長試算'!C13+C43*'⑤ 成長試算'!C10+D43*'⑤ 成長試算'!C7)/E43)</f>
        <v/>
      </c>
      <c r="J43" s="7">
        <f>IF('⑤ 成長試算'!G14="—","—",A43*'⑤ 成長試算'!G14+B43*'⑤ 成長試算'!G11+C43*'⑤ 成長試算'!G8+D43*'⑤ 成長試算'!G5)</f>
        <v/>
      </c>
      <c r="K43" s="7">
        <f>IF('⑤ 成長試算'!G14="—","—",A43*'⑤ 成長試算'!G15+B43*'⑤ 成長試算'!G12+C43*'⑤ 成長試算'!G9+D43*'⑤ 成長試算'!G6)</f>
        <v/>
      </c>
      <c r="L43" s="7">
        <f>IF('⑤ 成長試算'!G14="—","—",(A43*'⑤ 成長試算'!G16+B43*'⑤ 成長試算'!G13+C43*'⑤ 成長試算'!G10+D43*'⑤ 成長試算'!G7)/E43)</f>
        <v/>
      </c>
      <c r="M43" s="7">
        <f>IF('⑤ 成長試算'!L14="—","—",A43*'⑤ 成長試算'!L14+B43*'⑤ 成長試算'!L11+C43*'⑤ 成長試算'!L8+D43*'⑤ 成長試算'!L5)</f>
        <v/>
      </c>
      <c r="N43" s="7">
        <f>IF('⑤ 成長試算'!L14="—","—",A43*'⑤ 成長試算'!L15+B43*'⑤ 成長試算'!L12+C43*'⑤ 成長試算'!L9+D43*'⑤ 成長試算'!L6)</f>
        <v/>
      </c>
      <c r="O43" s="7">
        <f>IF('⑤ 成長試算'!L14="—","—",(A43*'⑤ 成長試算'!L16+B43*'⑤ 成長試算'!L13+C43*'⑤ 成長試算'!L10+D43*'⑤ 成長試算'!L7)/E43)</f>
        <v/>
      </c>
      <c r="P43" s="5" t="inlineStr"/>
    </row>
    <row r="44">
      <c r="A44" s="5" t="n">
        <v>1</v>
      </c>
      <c r="B44" s="5" t="n">
        <v>0</v>
      </c>
      <c r="C44" s="5" t="n">
        <v>0</v>
      </c>
      <c r="D44" s="5" t="n">
        <v>4</v>
      </c>
      <c r="E44" s="5" t="n">
        <v>5</v>
      </c>
      <c r="F44" s="10" t="n">
        <v>13</v>
      </c>
      <c r="G44" s="7">
        <f>IF('⑤ 成長試算'!C14="—","—",A44*'⑤ 成長試算'!C14+B44*'⑤ 成長試算'!C11+C44*'⑤ 成長試算'!C8+D44*'⑤ 成長試算'!C5)</f>
        <v/>
      </c>
      <c r="H44" s="7">
        <f>IF('⑤ 成長試算'!C14="—","—",A44*'⑤ 成長試算'!C15+B44*'⑤ 成長試算'!C12+C44*'⑤ 成長試算'!C9+D44*'⑤ 成長試算'!C6)</f>
        <v/>
      </c>
      <c r="I44" s="7">
        <f>IF('⑤ 成長試算'!C14="—","—",(A44*'⑤ 成長試算'!C16+B44*'⑤ 成長試算'!C13+C44*'⑤ 成長試算'!C10+D44*'⑤ 成長試算'!C7)/E44)</f>
        <v/>
      </c>
      <c r="J44" s="7">
        <f>IF('⑤ 成長試算'!G14="—","—",A44*'⑤ 成長試算'!G14+B44*'⑤ 成長試算'!G11+C44*'⑤ 成長試算'!G8+D44*'⑤ 成長試算'!G5)</f>
        <v/>
      </c>
      <c r="K44" s="7">
        <f>IF('⑤ 成長試算'!G14="—","—",A44*'⑤ 成長試算'!G15+B44*'⑤ 成長試算'!G12+C44*'⑤ 成長試算'!G9+D44*'⑤ 成長試算'!G6)</f>
        <v/>
      </c>
      <c r="L44" s="7">
        <f>IF('⑤ 成長試算'!G14="—","—",(A44*'⑤ 成長試算'!G16+B44*'⑤ 成長試算'!G13+C44*'⑤ 成長試算'!G10+D44*'⑤ 成長試算'!G7)/E44)</f>
        <v/>
      </c>
      <c r="M44" s="7">
        <f>IF('⑤ 成長試算'!L14="—","—",A44*'⑤ 成長試算'!L14+B44*'⑤ 成長試算'!L11+C44*'⑤ 成長試算'!L8+D44*'⑤ 成長試算'!L5)</f>
        <v/>
      </c>
      <c r="N44" s="7">
        <f>IF('⑤ 成長試算'!L14="—","—",A44*'⑤ 成長試算'!L15+B44*'⑤ 成長試算'!L12+C44*'⑤ 成長試算'!L9+D44*'⑤ 成長試算'!L6)</f>
        <v/>
      </c>
      <c r="O44" s="7">
        <f>IF('⑤ 成長試算'!L14="—","—",(A44*'⑤ 成長試算'!L16+B44*'⑤ 成長試算'!L13+C44*'⑤ 成長試算'!L10+D44*'⑤ 成長試算'!L7)/E44)</f>
        <v/>
      </c>
      <c r="P44" s="5" t="inlineStr"/>
    </row>
    <row r="45">
      <c r="A45" s="5" t="n">
        <v>0</v>
      </c>
      <c r="B45" s="5" t="n">
        <v>1</v>
      </c>
      <c r="C45" s="5" t="n">
        <v>1</v>
      </c>
      <c r="D45" s="5" t="n">
        <v>3</v>
      </c>
      <c r="E45" s="5" t="n">
        <v>5</v>
      </c>
      <c r="F45" s="10" t="n">
        <v>13</v>
      </c>
      <c r="G45" s="7">
        <f>IF('⑤ 成長試算'!C14="—","—",A45*'⑤ 成長試算'!C14+B45*'⑤ 成長試算'!C11+C45*'⑤ 成長試算'!C8+D45*'⑤ 成長試算'!C5)</f>
        <v/>
      </c>
      <c r="H45" s="7">
        <f>IF('⑤ 成長試算'!C14="—","—",A45*'⑤ 成長試算'!C15+B45*'⑤ 成長試算'!C12+C45*'⑤ 成長試算'!C9+D45*'⑤ 成長試算'!C6)</f>
        <v/>
      </c>
      <c r="I45" s="7">
        <f>IF('⑤ 成長試算'!C14="—","—",(A45*'⑤ 成長試算'!C16+B45*'⑤ 成長試算'!C13+C45*'⑤ 成長試算'!C10+D45*'⑤ 成長試算'!C7)/E45)</f>
        <v/>
      </c>
      <c r="J45" s="7">
        <f>IF('⑤ 成長試算'!G14="—","—",A45*'⑤ 成長試算'!G14+B45*'⑤ 成長試算'!G11+C45*'⑤ 成長試算'!G8+D45*'⑤ 成長試算'!G5)</f>
        <v/>
      </c>
      <c r="K45" s="7">
        <f>IF('⑤ 成長試算'!G14="—","—",A45*'⑤ 成長試算'!G15+B45*'⑤ 成長試算'!G12+C45*'⑤ 成長試算'!G9+D45*'⑤ 成長試算'!G6)</f>
        <v/>
      </c>
      <c r="L45" s="7">
        <f>IF('⑤ 成長試算'!G14="—","—",(A45*'⑤ 成長試算'!G16+B45*'⑤ 成長試算'!G13+C45*'⑤ 成長試算'!G10+D45*'⑤ 成長試算'!G7)/E45)</f>
        <v/>
      </c>
      <c r="M45" s="7">
        <f>IF('⑤ 成長試算'!L14="—","—",A45*'⑤ 成長試算'!L14+B45*'⑤ 成長試算'!L11+C45*'⑤ 成長試算'!L8+D45*'⑤ 成長試算'!L5)</f>
        <v/>
      </c>
      <c r="N45" s="7">
        <f>IF('⑤ 成長試算'!L14="—","—",A45*'⑤ 成長試算'!L15+B45*'⑤ 成長試算'!L12+C45*'⑤ 成長試算'!L9+D45*'⑤ 成長試算'!L6)</f>
        <v/>
      </c>
      <c r="O45" s="7">
        <f>IF('⑤ 成長試算'!L14="—","—",(A45*'⑤ 成長試算'!L16+B45*'⑤ 成長試算'!L13+C45*'⑤ 成長試算'!L10+D45*'⑤ 成長試算'!L7)/E45)</f>
        <v/>
      </c>
      <c r="P45" s="5" t="inlineStr"/>
    </row>
    <row r="46">
      <c r="A46" s="5" t="n">
        <v>0</v>
      </c>
      <c r="B46" s="5" t="n">
        <v>0</v>
      </c>
      <c r="C46" s="5" t="n">
        <v>3</v>
      </c>
      <c r="D46" s="5" t="n">
        <v>2</v>
      </c>
      <c r="E46" s="5" t="n">
        <v>5</v>
      </c>
      <c r="F46" s="10" t="n">
        <v>13</v>
      </c>
      <c r="G46" s="7">
        <f>IF('⑤ 成長試算'!C14="—","—",A46*'⑤ 成長試算'!C14+B46*'⑤ 成長試算'!C11+C46*'⑤ 成長試算'!C8+D46*'⑤ 成長試算'!C5)</f>
        <v/>
      </c>
      <c r="H46" s="7">
        <f>IF('⑤ 成長試算'!C14="—","—",A46*'⑤ 成長試算'!C15+B46*'⑤ 成長試算'!C12+C46*'⑤ 成長試算'!C9+D46*'⑤ 成長試算'!C6)</f>
        <v/>
      </c>
      <c r="I46" s="7">
        <f>IF('⑤ 成長試算'!C14="—","—",(A46*'⑤ 成長試算'!C16+B46*'⑤ 成長試算'!C13+C46*'⑤ 成長試算'!C10+D46*'⑤ 成長試算'!C7)/E46)</f>
        <v/>
      </c>
      <c r="J46" s="7">
        <f>IF('⑤ 成長試算'!G14="—","—",A46*'⑤ 成長試算'!G14+B46*'⑤ 成長試算'!G11+C46*'⑤ 成長試算'!G8+D46*'⑤ 成長試算'!G5)</f>
        <v/>
      </c>
      <c r="K46" s="7">
        <f>IF('⑤ 成長試算'!G14="—","—",A46*'⑤ 成長試算'!G15+B46*'⑤ 成長試算'!G12+C46*'⑤ 成長試算'!G9+D46*'⑤ 成長試算'!G6)</f>
        <v/>
      </c>
      <c r="L46" s="7">
        <f>IF('⑤ 成長試算'!G14="—","—",(A46*'⑤ 成長試算'!G16+B46*'⑤ 成長試算'!G13+C46*'⑤ 成長試算'!G10+D46*'⑤ 成長試算'!G7)/E46)</f>
        <v/>
      </c>
      <c r="M46" s="7">
        <f>IF('⑤ 成長試算'!L14="—","—",A46*'⑤ 成長試算'!L14+B46*'⑤ 成長試算'!L11+C46*'⑤ 成長試算'!L8+D46*'⑤ 成長試算'!L5)</f>
        <v/>
      </c>
      <c r="N46" s="7">
        <f>IF('⑤ 成長試算'!L14="—","—",A46*'⑤ 成長試算'!L15+B46*'⑤ 成長試算'!L12+C46*'⑤ 成長試算'!L9+D46*'⑤ 成長試算'!L6)</f>
        <v/>
      </c>
      <c r="O46" s="7">
        <f>IF('⑤ 成長試算'!L14="—","—",(A46*'⑤ 成長試算'!L16+B46*'⑤ 成長試算'!L13+C46*'⑤ 成長試算'!L10+D46*'⑤ 成長試算'!L7)/E46)</f>
        <v/>
      </c>
      <c r="P46" s="5" t="inlineStr"/>
    </row>
    <row r="47">
      <c r="A47" s="5" t="n">
        <v>0</v>
      </c>
      <c r="B47" s="5" t="n">
        <v>1</v>
      </c>
      <c r="C47" s="5" t="n">
        <v>0</v>
      </c>
      <c r="D47" s="5" t="n">
        <v>4</v>
      </c>
      <c r="E47" s="5" t="n">
        <v>5</v>
      </c>
      <c r="F47" s="10" t="n">
        <v>12</v>
      </c>
      <c r="G47" s="7">
        <f>IF('⑤ 成長試算'!C14="—","—",A47*'⑤ 成長試算'!C14+B47*'⑤ 成長試算'!C11+C47*'⑤ 成長試算'!C8+D47*'⑤ 成長試算'!C5)</f>
        <v/>
      </c>
      <c r="H47" s="7">
        <f>IF('⑤ 成長試算'!C14="—","—",A47*'⑤ 成長試算'!C15+B47*'⑤ 成長試算'!C12+C47*'⑤ 成長試算'!C9+D47*'⑤ 成長試算'!C6)</f>
        <v/>
      </c>
      <c r="I47" s="7">
        <f>IF('⑤ 成長試算'!C14="—","—",(A47*'⑤ 成長試算'!C16+B47*'⑤ 成長試算'!C13+C47*'⑤ 成長試算'!C10+D47*'⑤ 成長試算'!C7)/E47)</f>
        <v/>
      </c>
      <c r="J47" s="7">
        <f>IF('⑤ 成長試算'!G14="—","—",A47*'⑤ 成長試算'!G14+B47*'⑤ 成長試算'!G11+C47*'⑤ 成長試算'!G8+D47*'⑤ 成長試算'!G5)</f>
        <v/>
      </c>
      <c r="K47" s="7">
        <f>IF('⑤ 成長試算'!G14="—","—",A47*'⑤ 成長試算'!G15+B47*'⑤ 成長試算'!G12+C47*'⑤ 成長試算'!G9+D47*'⑤ 成長試算'!G6)</f>
        <v/>
      </c>
      <c r="L47" s="7">
        <f>IF('⑤ 成長試算'!G14="—","—",(A47*'⑤ 成長試算'!G16+B47*'⑤ 成長試算'!G13+C47*'⑤ 成長試算'!G10+D47*'⑤ 成長試算'!G7)/E47)</f>
        <v/>
      </c>
      <c r="M47" s="7">
        <f>IF('⑤ 成長試算'!L14="—","—",A47*'⑤ 成長試算'!L14+B47*'⑤ 成長試算'!L11+C47*'⑤ 成長試算'!L8+D47*'⑤ 成長試算'!L5)</f>
        <v/>
      </c>
      <c r="N47" s="7">
        <f>IF('⑤ 成長試算'!L14="—","—",A47*'⑤ 成長試算'!L15+B47*'⑤ 成長試算'!L12+C47*'⑤ 成長試算'!L9+D47*'⑤ 成長試算'!L6)</f>
        <v/>
      </c>
      <c r="O47" s="7">
        <f>IF('⑤ 成長試算'!L14="—","—",(A47*'⑤ 成長試算'!L16+B47*'⑤ 成長試算'!L13+C47*'⑤ 成長試算'!L10+D47*'⑤ 成長試算'!L7)/E47)</f>
        <v/>
      </c>
      <c r="P47" s="5" t="inlineStr"/>
    </row>
    <row r="48">
      <c r="A48" s="5" t="n">
        <v>0</v>
      </c>
      <c r="B48" s="5" t="n">
        <v>0</v>
      </c>
      <c r="C48" s="5" t="n">
        <v>2</v>
      </c>
      <c r="D48" s="5" t="n">
        <v>3</v>
      </c>
      <c r="E48" s="5" t="n">
        <v>5</v>
      </c>
      <c r="F48" s="10" t="n">
        <v>12</v>
      </c>
      <c r="G48" s="7">
        <f>IF('⑤ 成長試算'!C14="—","—",A48*'⑤ 成長試算'!C14+B48*'⑤ 成長試算'!C11+C48*'⑤ 成長試算'!C8+D48*'⑤ 成長試算'!C5)</f>
        <v/>
      </c>
      <c r="H48" s="7">
        <f>IF('⑤ 成長試算'!C14="—","—",A48*'⑤ 成長試算'!C15+B48*'⑤ 成長試算'!C12+C48*'⑤ 成長試算'!C9+D48*'⑤ 成長試算'!C6)</f>
        <v/>
      </c>
      <c r="I48" s="7">
        <f>IF('⑤ 成長試算'!C14="—","—",(A48*'⑤ 成長試算'!C16+B48*'⑤ 成長試算'!C13+C48*'⑤ 成長試算'!C10+D48*'⑤ 成長試算'!C7)/E48)</f>
        <v/>
      </c>
      <c r="J48" s="7">
        <f>IF('⑤ 成長試算'!G14="—","—",A48*'⑤ 成長試算'!G14+B48*'⑤ 成長試算'!G11+C48*'⑤ 成長試算'!G8+D48*'⑤ 成長試算'!G5)</f>
        <v/>
      </c>
      <c r="K48" s="7">
        <f>IF('⑤ 成長試算'!G14="—","—",A48*'⑤ 成長試算'!G15+B48*'⑤ 成長試算'!G12+C48*'⑤ 成長試算'!G9+D48*'⑤ 成長試算'!G6)</f>
        <v/>
      </c>
      <c r="L48" s="7">
        <f>IF('⑤ 成長試算'!G14="—","—",(A48*'⑤ 成長試算'!G16+B48*'⑤ 成長試算'!G13+C48*'⑤ 成長試算'!G10+D48*'⑤ 成長試算'!G7)/E48)</f>
        <v/>
      </c>
      <c r="M48" s="7">
        <f>IF('⑤ 成長試算'!L14="—","—",A48*'⑤ 成長試算'!L14+B48*'⑤ 成長試算'!L11+C48*'⑤ 成長試算'!L8+D48*'⑤ 成長試算'!L5)</f>
        <v/>
      </c>
      <c r="N48" s="7">
        <f>IF('⑤ 成長試算'!L14="—","—",A48*'⑤ 成長試算'!L15+B48*'⑤ 成長試算'!L12+C48*'⑤ 成長試算'!L9+D48*'⑤ 成長試算'!L6)</f>
        <v/>
      </c>
      <c r="O48" s="7">
        <f>IF('⑤ 成長試算'!L14="—","—",(A48*'⑤ 成長試算'!L16+B48*'⑤ 成長試算'!L13+C48*'⑤ 成長試算'!L10+D48*'⑤ 成長試算'!L7)/E48)</f>
        <v/>
      </c>
      <c r="P48" s="5" t="inlineStr"/>
    </row>
    <row r="49">
      <c r="A49" s="5" t="n">
        <v>0</v>
      </c>
      <c r="B49" s="5" t="n">
        <v>0</v>
      </c>
      <c r="C49" s="5" t="n">
        <v>1</v>
      </c>
      <c r="D49" s="5" t="n">
        <v>4</v>
      </c>
      <c r="E49" s="5" t="n">
        <v>5</v>
      </c>
      <c r="F49" s="10" t="n">
        <v>11</v>
      </c>
      <c r="G49" s="7">
        <f>IF('⑤ 成長試算'!C14="—","—",A49*'⑤ 成長試算'!C14+B49*'⑤ 成長試算'!C11+C49*'⑤ 成長試算'!C8+D49*'⑤ 成長試算'!C5)</f>
        <v/>
      </c>
      <c r="H49" s="7">
        <f>IF('⑤ 成長試算'!C14="—","—",A49*'⑤ 成長試算'!C15+B49*'⑤ 成長試算'!C12+C49*'⑤ 成長試算'!C9+D49*'⑤ 成長試算'!C6)</f>
        <v/>
      </c>
      <c r="I49" s="7">
        <f>IF('⑤ 成長試算'!C14="—","—",(A49*'⑤ 成長試算'!C16+B49*'⑤ 成長試算'!C13+C49*'⑤ 成長試算'!C10+D49*'⑤ 成長試算'!C7)/E49)</f>
        <v/>
      </c>
      <c r="J49" s="7">
        <f>IF('⑤ 成長試算'!G14="—","—",A49*'⑤ 成長試算'!G14+B49*'⑤ 成長試算'!G11+C49*'⑤ 成長試算'!G8+D49*'⑤ 成長試算'!G5)</f>
        <v/>
      </c>
      <c r="K49" s="7">
        <f>IF('⑤ 成長試算'!G14="—","—",A49*'⑤ 成長試算'!G15+B49*'⑤ 成長試算'!G12+C49*'⑤ 成長試算'!G9+D49*'⑤ 成長試算'!G6)</f>
        <v/>
      </c>
      <c r="L49" s="7">
        <f>IF('⑤ 成長試算'!G14="—","—",(A49*'⑤ 成長試算'!G16+B49*'⑤ 成長試算'!G13+C49*'⑤ 成長試算'!G10+D49*'⑤ 成長試算'!G7)/E49)</f>
        <v/>
      </c>
      <c r="M49" s="7">
        <f>IF('⑤ 成長試算'!L14="—","—",A49*'⑤ 成長試算'!L14+B49*'⑤ 成長試算'!L11+C49*'⑤ 成長試算'!L8+D49*'⑤ 成長試算'!L5)</f>
        <v/>
      </c>
      <c r="N49" s="7">
        <f>IF('⑤ 成長試算'!L14="—","—",A49*'⑤ 成長試算'!L15+B49*'⑤ 成長試算'!L12+C49*'⑤ 成長試算'!L9+D49*'⑤ 成長試算'!L6)</f>
        <v/>
      </c>
      <c r="O49" s="7">
        <f>IF('⑤ 成長試算'!L14="—","—",(A49*'⑤ 成長試算'!L16+B49*'⑤ 成長試算'!L13+C49*'⑤ 成長試算'!L10+D49*'⑤ 成長試算'!L7)/E49)</f>
        <v/>
      </c>
      <c r="P49" s="5" t="inlineStr"/>
    </row>
    <row r="50">
      <c r="A50" s="5" t="n">
        <v>0</v>
      </c>
      <c r="B50" s="5" t="n">
        <v>0</v>
      </c>
      <c r="C50" s="5" t="n">
        <v>0</v>
      </c>
      <c r="D50" s="5" t="n">
        <v>5</v>
      </c>
      <c r="E50" s="5" t="n">
        <v>5</v>
      </c>
      <c r="F50" s="10" t="n">
        <v>10</v>
      </c>
      <c r="G50" s="7">
        <f>IF('⑤ 成長試算'!C14="—","—",A50*'⑤ 成長試算'!C14+B50*'⑤ 成長試算'!C11+C50*'⑤ 成長試算'!C8+D50*'⑤ 成長試算'!C5)</f>
        <v/>
      </c>
      <c r="H50" s="7">
        <f>IF('⑤ 成長試算'!C14="—","—",A50*'⑤ 成長試算'!C15+B50*'⑤ 成長試算'!C12+C50*'⑤ 成長試算'!C9+D50*'⑤ 成長試算'!C6)</f>
        <v/>
      </c>
      <c r="I50" s="7">
        <f>IF('⑤ 成長試算'!C14="—","—",(A50*'⑤ 成長試算'!C16+B50*'⑤ 成長試算'!C13+C50*'⑤ 成長試算'!C10+D50*'⑤ 成長試算'!C7)/E50)</f>
        <v/>
      </c>
      <c r="J50" s="7">
        <f>IF('⑤ 成長試算'!G14="—","—",A50*'⑤ 成長試算'!G14+B50*'⑤ 成長試算'!G11+C50*'⑤ 成長試算'!G8+D50*'⑤ 成長試算'!G5)</f>
        <v/>
      </c>
      <c r="K50" s="7">
        <f>IF('⑤ 成長試算'!G14="—","—",A50*'⑤ 成長試算'!G15+B50*'⑤ 成長試算'!G12+C50*'⑤ 成長試算'!G9+D50*'⑤ 成長試算'!G6)</f>
        <v/>
      </c>
      <c r="L50" s="7">
        <f>IF('⑤ 成長試算'!G14="—","—",(A50*'⑤ 成長試算'!G16+B50*'⑤ 成長試算'!G13+C50*'⑤ 成長試算'!G10+D50*'⑤ 成長試算'!G7)/E50)</f>
        <v/>
      </c>
      <c r="M50" s="7">
        <f>IF('⑤ 成長試算'!L14="—","—",A50*'⑤ 成長試算'!L14+B50*'⑤ 成長試算'!L11+C50*'⑤ 成長試算'!L8+D50*'⑤ 成長試算'!L5)</f>
        <v/>
      </c>
      <c r="N50" s="7">
        <f>IF('⑤ 成長試算'!L14="—","—",A50*'⑤ 成長試算'!L15+B50*'⑤ 成長試算'!L12+C50*'⑤ 成長試算'!L9+D50*'⑤ 成長試算'!L6)</f>
        <v/>
      </c>
      <c r="O50" s="7">
        <f>IF('⑤ 成長試算'!L14="—","—",(A50*'⑤ 成長試算'!L16+B50*'⑤ 成長試算'!L13+C50*'⑤ 成長試算'!L10+D50*'⑤ 成長試算'!L7)/E50)</f>
        <v/>
      </c>
      <c r="P50" s="5" t="inlineStr">
        <is>
          <t>C単一（最安）</t>
        </is>
      </c>
    </row>
    <row r="51">
      <c r="A51" s="5" t="n">
        <v>4</v>
      </c>
      <c r="B51" s="5" t="n">
        <v>0</v>
      </c>
      <c r="C51" s="5" t="n">
        <v>0</v>
      </c>
      <c r="D51" s="5" t="n">
        <v>0</v>
      </c>
      <c r="E51" s="5" t="n">
        <v>4</v>
      </c>
      <c r="F51" s="10" t="n">
        <v>20</v>
      </c>
      <c r="G51" s="7">
        <f>IF('⑤ 成長試算'!C14="—","—",A51*'⑤ 成長試算'!C14+B51*'⑤ 成長試算'!C11+C51*'⑤ 成長試算'!C8+D51*'⑤ 成長試算'!C5)</f>
        <v/>
      </c>
      <c r="H51" s="7">
        <f>IF('⑤ 成長試算'!C14="—","—",A51*'⑤ 成長試算'!C15+B51*'⑤ 成長試算'!C12+C51*'⑤ 成長試算'!C9+D51*'⑤ 成長試算'!C6)</f>
        <v/>
      </c>
      <c r="I51" s="7">
        <f>IF('⑤ 成長試算'!C14="—","—",(A51*'⑤ 成長試算'!C16+B51*'⑤ 成長試算'!C13+C51*'⑤ 成長試算'!C10+D51*'⑤ 成長試算'!C7)/E51)</f>
        <v/>
      </c>
      <c r="J51" s="7">
        <f>IF('⑤ 成長試算'!G14="—","—",A51*'⑤ 成長試算'!G14+B51*'⑤ 成長試算'!G11+C51*'⑤ 成長試算'!G8+D51*'⑤ 成長試算'!G5)</f>
        <v/>
      </c>
      <c r="K51" s="7">
        <f>IF('⑤ 成長試算'!G14="—","—",A51*'⑤ 成長試算'!G15+B51*'⑤ 成長試算'!G12+C51*'⑤ 成長試算'!G9+D51*'⑤ 成長試算'!G6)</f>
        <v/>
      </c>
      <c r="L51" s="7">
        <f>IF('⑤ 成長試算'!G14="—","—",(A51*'⑤ 成長試算'!G16+B51*'⑤ 成長試算'!G13+C51*'⑤ 成長試算'!G10+D51*'⑤ 成長試算'!G7)/E51)</f>
        <v/>
      </c>
      <c r="M51" s="7">
        <f>IF('⑤ 成長試算'!L14="—","—",A51*'⑤ 成長試算'!L14+B51*'⑤ 成長試算'!L11+C51*'⑤ 成長試算'!L8+D51*'⑤ 成長試算'!L5)</f>
        <v/>
      </c>
      <c r="N51" s="7">
        <f>IF('⑤ 成長試算'!L14="—","—",A51*'⑤ 成長試算'!L15+B51*'⑤ 成長試算'!L12+C51*'⑤ 成長試算'!L9+D51*'⑤ 成長試算'!L6)</f>
        <v/>
      </c>
      <c r="O51" s="7">
        <f>IF('⑤ 成長試算'!L14="—","—",(A51*'⑤ 成長試算'!L16+B51*'⑤ 成長試算'!L13+C51*'⑤ 成長試算'!L10+D51*'⑤ 成長試算'!L7)/E51)</f>
        <v/>
      </c>
      <c r="P51" s="5" t="inlineStr">
        <is>
          <t>S単一</t>
        </is>
      </c>
    </row>
    <row r="52">
      <c r="A52" s="5" t="n">
        <v>3</v>
      </c>
      <c r="B52" s="5" t="n">
        <v>1</v>
      </c>
      <c r="C52" s="5" t="n">
        <v>0</v>
      </c>
      <c r="D52" s="5" t="n">
        <v>0</v>
      </c>
      <c r="E52" s="5" t="n">
        <v>4</v>
      </c>
      <c r="F52" s="10" t="n">
        <v>19</v>
      </c>
      <c r="G52" s="7">
        <f>IF('⑤ 成長試算'!C14="—","—",A52*'⑤ 成長試算'!C14+B52*'⑤ 成長試算'!C11+C52*'⑤ 成長試算'!C8+D52*'⑤ 成長試算'!C5)</f>
        <v/>
      </c>
      <c r="H52" s="7">
        <f>IF('⑤ 成長試算'!C14="—","—",A52*'⑤ 成長試算'!C15+B52*'⑤ 成長試算'!C12+C52*'⑤ 成長試算'!C9+D52*'⑤ 成長試算'!C6)</f>
        <v/>
      </c>
      <c r="I52" s="7">
        <f>IF('⑤ 成長試算'!C14="—","—",(A52*'⑤ 成長試算'!C16+B52*'⑤ 成長試算'!C13+C52*'⑤ 成長試算'!C10+D52*'⑤ 成長試算'!C7)/E52)</f>
        <v/>
      </c>
      <c r="J52" s="7">
        <f>IF('⑤ 成長試算'!G14="—","—",A52*'⑤ 成長試算'!G14+B52*'⑤ 成長試算'!G11+C52*'⑤ 成長試算'!G8+D52*'⑤ 成長試算'!G5)</f>
        <v/>
      </c>
      <c r="K52" s="7">
        <f>IF('⑤ 成長試算'!G14="—","—",A52*'⑤ 成長試算'!G15+B52*'⑤ 成長試算'!G12+C52*'⑤ 成長試算'!G9+D52*'⑤ 成長試算'!G6)</f>
        <v/>
      </c>
      <c r="L52" s="7">
        <f>IF('⑤ 成長試算'!G14="—","—",(A52*'⑤ 成長試算'!G16+B52*'⑤ 成長試算'!G13+C52*'⑤ 成長試算'!G10+D52*'⑤ 成長試算'!G7)/E52)</f>
        <v/>
      </c>
      <c r="M52" s="7">
        <f>IF('⑤ 成長試算'!L14="—","—",A52*'⑤ 成長試算'!L14+B52*'⑤ 成長試算'!L11+C52*'⑤ 成長試算'!L8+D52*'⑤ 成長試算'!L5)</f>
        <v/>
      </c>
      <c r="N52" s="7">
        <f>IF('⑤ 成長試算'!L14="—","—",A52*'⑤ 成長試算'!L15+B52*'⑤ 成長試算'!L12+C52*'⑤ 成長試算'!L9+D52*'⑤ 成長試算'!L6)</f>
        <v/>
      </c>
      <c r="O52" s="7">
        <f>IF('⑤ 成長試算'!L14="—","—",(A52*'⑤ 成長試算'!L16+B52*'⑤ 成長試算'!L13+C52*'⑤ 成長試算'!L10+D52*'⑤ 成長試算'!L7)/E52)</f>
        <v/>
      </c>
      <c r="P52" s="5" t="inlineStr"/>
    </row>
    <row r="53">
      <c r="A53" s="5" t="n">
        <v>3</v>
      </c>
      <c r="B53" s="5" t="n">
        <v>0</v>
      </c>
      <c r="C53" s="5" t="n">
        <v>1</v>
      </c>
      <c r="D53" s="5" t="n">
        <v>0</v>
      </c>
      <c r="E53" s="5" t="n">
        <v>4</v>
      </c>
      <c r="F53" s="10" t="n">
        <v>18</v>
      </c>
      <c r="G53" s="7">
        <f>IF('⑤ 成長試算'!C14="—","—",A53*'⑤ 成長試算'!C14+B53*'⑤ 成長試算'!C11+C53*'⑤ 成長試算'!C8+D53*'⑤ 成長試算'!C5)</f>
        <v/>
      </c>
      <c r="H53" s="7">
        <f>IF('⑤ 成長試算'!C14="—","—",A53*'⑤ 成長試算'!C15+B53*'⑤ 成長試算'!C12+C53*'⑤ 成長試算'!C9+D53*'⑤ 成長試算'!C6)</f>
        <v/>
      </c>
      <c r="I53" s="7">
        <f>IF('⑤ 成長試算'!C14="—","—",(A53*'⑤ 成長試算'!C16+B53*'⑤ 成長試算'!C13+C53*'⑤ 成長試算'!C10+D53*'⑤ 成長試算'!C7)/E53)</f>
        <v/>
      </c>
      <c r="J53" s="7">
        <f>IF('⑤ 成長試算'!G14="—","—",A53*'⑤ 成長試算'!G14+B53*'⑤ 成長試算'!G11+C53*'⑤ 成長試算'!G8+D53*'⑤ 成長試算'!G5)</f>
        <v/>
      </c>
      <c r="K53" s="7">
        <f>IF('⑤ 成長試算'!G14="—","—",A53*'⑤ 成長試算'!G15+B53*'⑤ 成長試算'!G12+C53*'⑤ 成長試算'!G9+D53*'⑤ 成長試算'!G6)</f>
        <v/>
      </c>
      <c r="L53" s="7">
        <f>IF('⑤ 成長試算'!G14="—","—",(A53*'⑤ 成長試算'!G16+B53*'⑤ 成長試算'!G13+C53*'⑤ 成長試算'!G10+D53*'⑤ 成長試算'!G7)/E53)</f>
        <v/>
      </c>
      <c r="M53" s="7">
        <f>IF('⑤ 成長試算'!L14="—","—",A53*'⑤ 成長試算'!L14+B53*'⑤ 成長試算'!L11+C53*'⑤ 成長試算'!L8+D53*'⑤ 成長試算'!L5)</f>
        <v/>
      </c>
      <c r="N53" s="7">
        <f>IF('⑤ 成長試算'!L14="—","—",A53*'⑤ 成長試算'!L15+B53*'⑤ 成長試算'!L12+C53*'⑤ 成長試算'!L9+D53*'⑤ 成長試算'!L6)</f>
        <v/>
      </c>
      <c r="O53" s="7">
        <f>IF('⑤ 成長試算'!L14="—","—",(A53*'⑤ 成長試算'!L16+B53*'⑤ 成長試算'!L13+C53*'⑤ 成長試算'!L10+D53*'⑤ 成長試算'!L7)/E53)</f>
        <v/>
      </c>
      <c r="P53" s="5" t="inlineStr"/>
    </row>
    <row r="54">
      <c r="A54" s="5" t="n">
        <v>2</v>
      </c>
      <c r="B54" s="5" t="n">
        <v>2</v>
      </c>
      <c r="C54" s="5" t="n">
        <v>0</v>
      </c>
      <c r="D54" s="5" t="n">
        <v>0</v>
      </c>
      <c r="E54" s="5" t="n">
        <v>4</v>
      </c>
      <c r="F54" s="10" t="n">
        <v>18</v>
      </c>
      <c r="G54" s="7">
        <f>IF('⑤ 成長試算'!C14="—","—",A54*'⑤ 成長試算'!C14+B54*'⑤ 成長試算'!C11+C54*'⑤ 成長試算'!C8+D54*'⑤ 成長試算'!C5)</f>
        <v/>
      </c>
      <c r="H54" s="7">
        <f>IF('⑤ 成長試算'!C14="—","—",A54*'⑤ 成長試算'!C15+B54*'⑤ 成長試算'!C12+C54*'⑤ 成長試算'!C9+D54*'⑤ 成長試算'!C6)</f>
        <v/>
      </c>
      <c r="I54" s="7">
        <f>IF('⑤ 成長試算'!C14="—","—",(A54*'⑤ 成長試算'!C16+B54*'⑤ 成長試算'!C13+C54*'⑤ 成長試算'!C10+D54*'⑤ 成長試算'!C7)/E54)</f>
        <v/>
      </c>
      <c r="J54" s="7">
        <f>IF('⑤ 成長試算'!G14="—","—",A54*'⑤ 成長試算'!G14+B54*'⑤ 成長試算'!G11+C54*'⑤ 成長試算'!G8+D54*'⑤ 成長試算'!G5)</f>
        <v/>
      </c>
      <c r="K54" s="7">
        <f>IF('⑤ 成長試算'!G14="—","—",A54*'⑤ 成長試算'!G15+B54*'⑤ 成長試算'!G12+C54*'⑤ 成長試算'!G9+D54*'⑤ 成長試算'!G6)</f>
        <v/>
      </c>
      <c r="L54" s="7">
        <f>IF('⑤ 成長試算'!G14="—","—",(A54*'⑤ 成長試算'!G16+B54*'⑤ 成長試算'!G13+C54*'⑤ 成長試算'!G10+D54*'⑤ 成長試算'!G7)/E54)</f>
        <v/>
      </c>
      <c r="M54" s="7">
        <f>IF('⑤ 成長試算'!L14="—","—",A54*'⑤ 成長試算'!L14+B54*'⑤ 成長試算'!L11+C54*'⑤ 成長試算'!L8+D54*'⑤ 成長試算'!L5)</f>
        <v/>
      </c>
      <c r="N54" s="7">
        <f>IF('⑤ 成長試算'!L14="—","—",A54*'⑤ 成長試算'!L15+B54*'⑤ 成長試算'!L12+C54*'⑤ 成長試算'!L9+D54*'⑤ 成長試算'!L6)</f>
        <v/>
      </c>
      <c r="O54" s="7">
        <f>IF('⑤ 成長試算'!L14="—","—",(A54*'⑤ 成長試算'!L16+B54*'⑤ 成長試算'!L13+C54*'⑤ 成長試算'!L10+D54*'⑤ 成長試算'!L7)/E54)</f>
        <v/>
      </c>
      <c r="P54" s="5" t="inlineStr"/>
    </row>
    <row r="55">
      <c r="A55" s="5" t="n">
        <v>3</v>
      </c>
      <c r="B55" s="5" t="n">
        <v>0</v>
      </c>
      <c r="C55" s="5" t="n">
        <v>0</v>
      </c>
      <c r="D55" s="5" t="n">
        <v>1</v>
      </c>
      <c r="E55" s="5" t="n">
        <v>4</v>
      </c>
      <c r="F55" s="10" t="n">
        <v>17</v>
      </c>
      <c r="G55" s="7">
        <f>IF('⑤ 成長試算'!C14="—","—",A55*'⑤ 成長試算'!C14+B55*'⑤ 成長試算'!C11+C55*'⑤ 成長試算'!C8+D55*'⑤ 成長試算'!C5)</f>
        <v/>
      </c>
      <c r="H55" s="7">
        <f>IF('⑤ 成長試算'!C14="—","—",A55*'⑤ 成長試算'!C15+B55*'⑤ 成長試算'!C12+C55*'⑤ 成長試算'!C9+D55*'⑤ 成長試算'!C6)</f>
        <v/>
      </c>
      <c r="I55" s="7">
        <f>IF('⑤ 成長試算'!C14="—","—",(A55*'⑤ 成長試算'!C16+B55*'⑤ 成長試算'!C13+C55*'⑤ 成長試算'!C10+D55*'⑤ 成長試算'!C7)/E55)</f>
        <v/>
      </c>
      <c r="J55" s="7">
        <f>IF('⑤ 成長試算'!G14="—","—",A55*'⑤ 成長試算'!G14+B55*'⑤ 成長試算'!G11+C55*'⑤ 成長試算'!G8+D55*'⑤ 成長試算'!G5)</f>
        <v/>
      </c>
      <c r="K55" s="7">
        <f>IF('⑤ 成長試算'!G14="—","—",A55*'⑤ 成長試算'!G15+B55*'⑤ 成長試算'!G12+C55*'⑤ 成長試算'!G9+D55*'⑤ 成長試算'!G6)</f>
        <v/>
      </c>
      <c r="L55" s="7">
        <f>IF('⑤ 成長試算'!G14="—","—",(A55*'⑤ 成長試算'!G16+B55*'⑤ 成長試算'!G13+C55*'⑤ 成長試算'!G10+D55*'⑤ 成長試算'!G7)/E55)</f>
        <v/>
      </c>
      <c r="M55" s="7">
        <f>IF('⑤ 成長試算'!L14="—","—",A55*'⑤ 成長試算'!L14+B55*'⑤ 成長試算'!L11+C55*'⑤ 成長試算'!L8+D55*'⑤ 成長試算'!L5)</f>
        <v/>
      </c>
      <c r="N55" s="7">
        <f>IF('⑤ 成長試算'!L14="—","—",A55*'⑤ 成長試算'!L15+B55*'⑤ 成長試算'!L12+C55*'⑤ 成長試算'!L9+D55*'⑤ 成長試算'!L6)</f>
        <v/>
      </c>
      <c r="O55" s="7">
        <f>IF('⑤ 成長試算'!L14="—","—",(A55*'⑤ 成長試算'!L16+B55*'⑤ 成長試算'!L13+C55*'⑤ 成長試算'!L10+D55*'⑤ 成長試算'!L7)/E55)</f>
        <v/>
      </c>
      <c r="P55" s="5" t="inlineStr"/>
    </row>
    <row r="56">
      <c r="A56" s="5" t="n">
        <v>2</v>
      </c>
      <c r="B56" s="5" t="n">
        <v>1</v>
      </c>
      <c r="C56" s="5" t="n">
        <v>1</v>
      </c>
      <c r="D56" s="5" t="n">
        <v>0</v>
      </c>
      <c r="E56" s="5" t="n">
        <v>4</v>
      </c>
      <c r="F56" s="10" t="n">
        <v>17</v>
      </c>
      <c r="G56" s="7">
        <f>IF('⑤ 成長試算'!C14="—","—",A56*'⑤ 成長試算'!C14+B56*'⑤ 成長試算'!C11+C56*'⑤ 成長試算'!C8+D56*'⑤ 成長試算'!C5)</f>
        <v/>
      </c>
      <c r="H56" s="7">
        <f>IF('⑤ 成長試算'!C14="—","—",A56*'⑤ 成長試算'!C15+B56*'⑤ 成長試算'!C12+C56*'⑤ 成長試算'!C9+D56*'⑤ 成長試算'!C6)</f>
        <v/>
      </c>
      <c r="I56" s="7">
        <f>IF('⑤ 成長試算'!C14="—","—",(A56*'⑤ 成長試算'!C16+B56*'⑤ 成長試算'!C13+C56*'⑤ 成長試算'!C10+D56*'⑤ 成長試算'!C7)/E56)</f>
        <v/>
      </c>
      <c r="J56" s="7">
        <f>IF('⑤ 成長試算'!G14="—","—",A56*'⑤ 成長試算'!G14+B56*'⑤ 成長試算'!G11+C56*'⑤ 成長試算'!G8+D56*'⑤ 成長試算'!G5)</f>
        <v/>
      </c>
      <c r="K56" s="7">
        <f>IF('⑤ 成長試算'!G14="—","—",A56*'⑤ 成長試算'!G15+B56*'⑤ 成長試算'!G12+C56*'⑤ 成長試算'!G9+D56*'⑤ 成長試算'!G6)</f>
        <v/>
      </c>
      <c r="L56" s="7">
        <f>IF('⑤ 成長試算'!G14="—","—",(A56*'⑤ 成長試算'!G16+B56*'⑤ 成長試算'!G13+C56*'⑤ 成長試算'!G10+D56*'⑤ 成長試算'!G7)/E56)</f>
        <v/>
      </c>
      <c r="M56" s="7">
        <f>IF('⑤ 成長試算'!L14="—","—",A56*'⑤ 成長試算'!L14+B56*'⑤ 成長試算'!L11+C56*'⑤ 成長試算'!L8+D56*'⑤ 成長試算'!L5)</f>
        <v/>
      </c>
      <c r="N56" s="7">
        <f>IF('⑤ 成長試算'!L14="—","—",A56*'⑤ 成長試算'!L15+B56*'⑤ 成長試算'!L12+C56*'⑤ 成長試算'!L9+D56*'⑤ 成長試算'!L6)</f>
        <v/>
      </c>
      <c r="O56" s="7">
        <f>IF('⑤ 成長試算'!L14="—","—",(A56*'⑤ 成長試算'!L16+B56*'⑤ 成長試算'!L13+C56*'⑤ 成長試算'!L10+D56*'⑤ 成長試算'!L7)/E56)</f>
        <v/>
      </c>
      <c r="P56" s="5" t="inlineStr"/>
    </row>
    <row r="57">
      <c r="A57" s="5" t="n">
        <v>1</v>
      </c>
      <c r="B57" s="5" t="n">
        <v>3</v>
      </c>
      <c r="C57" s="5" t="n">
        <v>0</v>
      </c>
      <c r="D57" s="5" t="n">
        <v>0</v>
      </c>
      <c r="E57" s="5" t="n">
        <v>4</v>
      </c>
      <c r="F57" s="10" t="n">
        <v>17</v>
      </c>
      <c r="G57" s="7">
        <f>IF('⑤ 成長試算'!C14="—","—",A57*'⑤ 成長試算'!C14+B57*'⑤ 成長試算'!C11+C57*'⑤ 成長試算'!C8+D57*'⑤ 成長試算'!C5)</f>
        <v/>
      </c>
      <c r="H57" s="7">
        <f>IF('⑤ 成長試算'!C14="—","—",A57*'⑤ 成長試算'!C15+B57*'⑤ 成長試算'!C12+C57*'⑤ 成長試算'!C9+D57*'⑤ 成長試算'!C6)</f>
        <v/>
      </c>
      <c r="I57" s="7">
        <f>IF('⑤ 成長試算'!C14="—","—",(A57*'⑤ 成長試算'!C16+B57*'⑤ 成長試算'!C13+C57*'⑤ 成長試算'!C10+D57*'⑤ 成長試算'!C7)/E57)</f>
        <v/>
      </c>
      <c r="J57" s="7">
        <f>IF('⑤ 成長試算'!G14="—","—",A57*'⑤ 成長試算'!G14+B57*'⑤ 成長試算'!G11+C57*'⑤ 成長試算'!G8+D57*'⑤ 成長試算'!G5)</f>
        <v/>
      </c>
      <c r="K57" s="7">
        <f>IF('⑤ 成長試算'!G14="—","—",A57*'⑤ 成長試算'!G15+B57*'⑤ 成長試算'!G12+C57*'⑤ 成長試算'!G9+D57*'⑤ 成長試算'!G6)</f>
        <v/>
      </c>
      <c r="L57" s="7">
        <f>IF('⑤ 成長試算'!G14="—","—",(A57*'⑤ 成長試算'!G16+B57*'⑤ 成長試算'!G13+C57*'⑤ 成長試算'!G10+D57*'⑤ 成長試算'!G7)/E57)</f>
        <v/>
      </c>
      <c r="M57" s="7">
        <f>IF('⑤ 成長試算'!L14="—","—",A57*'⑤ 成長試算'!L14+B57*'⑤ 成長試算'!L11+C57*'⑤ 成長試算'!L8+D57*'⑤ 成長試算'!L5)</f>
        <v/>
      </c>
      <c r="N57" s="7">
        <f>IF('⑤ 成長試算'!L14="—","—",A57*'⑤ 成長試算'!L15+B57*'⑤ 成長試算'!L12+C57*'⑤ 成長試算'!L9+D57*'⑤ 成長試算'!L6)</f>
        <v/>
      </c>
      <c r="O57" s="7">
        <f>IF('⑤ 成長試算'!L14="—","—",(A57*'⑤ 成長試算'!L16+B57*'⑤ 成長試算'!L13+C57*'⑤ 成長試算'!L10+D57*'⑤ 成長試算'!L7)/E57)</f>
        <v/>
      </c>
      <c r="P57" s="5" t="inlineStr"/>
    </row>
    <row r="58">
      <c r="A58" s="5" t="n">
        <v>2</v>
      </c>
      <c r="B58" s="5" t="n">
        <v>1</v>
      </c>
      <c r="C58" s="5" t="n">
        <v>0</v>
      </c>
      <c r="D58" s="5" t="n">
        <v>1</v>
      </c>
      <c r="E58" s="5" t="n">
        <v>4</v>
      </c>
      <c r="F58" s="10" t="n">
        <v>16</v>
      </c>
      <c r="G58" s="7">
        <f>IF('⑤ 成長試算'!C14="—","—",A58*'⑤ 成長試算'!C14+B58*'⑤ 成長試算'!C11+C58*'⑤ 成長試算'!C8+D58*'⑤ 成長試算'!C5)</f>
        <v/>
      </c>
      <c r="H58" s="7">
        <f>IF('⑤ 成長試算'!C14="—","—",A58*'⑤ 成長試算'!C15+B58*'⑤ 成長試算'!C12+C58*'⑤ 成長試算'!C9+D58*'⑤ 成長試算'!C6)</f>
        <v/>
      </c>
      <c r="I58" s="7">
        <f>IF('⑤ 成長試算'!C14="—","—",(A58*'⑤ 成長試算'!C16+B58*'⑤ 成長試算'!C13+C58*'⑤ 成長試算'!C10+D58*'⑤ 成長試算'!C7)/E58)</f>
        <v/>
      </c>
      <c r="J58" s="7">
        <f>IF('⑤ 成長試算'!G14="—","—",A58*'⑤ 成長試算'!G14+B58*'⑤ 成長試算'!G11+C58*'⑤ 成長試算'!G8+D58*'⑤ 成長試算'!G5)</f>
        <v/>
      </c>
      <c r="K58" s="7">
        <f>IF('⑤ 成長試算'!G14="—","—",A58*'⑤ 成長試算'!G15+B58*'⑤ 成長試算'!G12+C58*'⑤ 成長試算'!G9+D58*'⑤ 成長試算'!G6)</f>
        <v/>
      </c>
      <c r="L58" s="7">
        <f>IF('⑤ 成長試算'!G14="—","—",(A58*'⑤ 成長試算'!G16+B58*'⑤ 成長試算'!G13+C58*'⑤ 成長試算'!G10+D58*'⑤ 成長試算'!G7)/E58)</f>
        <v/>
      </c>
      <c r="M58" s="7">
        <f>IF('⑤ 成長試算'!L14="—","—",A58*'⑤ 成長試算'!L14+B58*'⑤ 成長試算'!L11+C58*'⑤ 成長試算'!L8+D58*'⑤ 成長試算'!L5)</f>
        <v/>
      </c>
      <c r="N58" s="7">
        <f>IF('⑤ 成長試算'!L14="—","—",A58*'⑤ 成長試算'!L15+B58*'⑤ 成長試算'!L12+C58*'⑤ 成長試算'!L9+D58*'⑤ 成長試算'!L6)</f>
        <v/>
      </c>
      <c r="O58" s="7">
        <f>IF('⑤ 成長試算'!L14="—","—",(A58*'⑤ 成長試算'!L16+B58*'⑤ 成長試算'!L13+C58*'⑤ 成長試算'!L10+D58*'⑤ 成長試算'!L7)/E58)</f>
        <v/>
      </c>
      <c r="P58" s="5" t="inlineStr"/>
    </row>
    <row r="59">
      <c r="A59" s="5" t="n">
        <v>2</v>
      </c>
      <c r="B59" s="5" t="n">
        <v>0</v>
      </c>
      <c r="C59" s="5" t="n">
        <v>2</v>
      </c>
      <c r="D59" s="5" t="n">
        <v>0</v>
      </c>
      <c r="E59" s="5" t="n">
        <v>4</v>
      </c>
      <c r="F59" s="10" t="n">
        <v>16</v>
      </c>
      <c r="G59" s="7">
        <f>IF('⑤ 成長試算'!C14="—","—",A59*'⑤ 成長試算'!C14+B59*'⑤ 成長試算'!C11+C59*'⑤ 成長試算'!C8+D59*'⑤ 成長試算'!C5)</f>
        <v/>
      </c>
      <c r="H59" s="7">
        <f>IF('⑤ 成長試算'!C14="—","—",A59*'⑤ 成長試算'!C15+B59*'⑤ 成長試算'!C12+C59*'⑤ 成長試算'!C9+D59*'⑤ 成長試算'!C6)</f>
        <v/>
      </c>
      <c r="I59" s="7">
        <f>IF('⑤ 成長試算'!C14="—","—",(A59*'⑤ 成長試算'!C16+B59*'⑤ 成長試算'!C13+C59*'⑤ 成長試算'!C10+D59*'⑤ 成長試算'!C7)/E59)</f>
        <v/>
      </c>
      <c r="J59" s="7">
        <f>IF('⑤ 成長試算'!G14="—","—",A59*'⑤ 成長試算'!G14+B59*'⑤ 成長試算'!G11+C59*'⑤ 成長試算'!G8+D59*'⑤ 成長試算'!G5)</f>
        <v/>
      </c>
      <c r="K59" s="7">
        <f>IF('⑤ 成長試算'!G14="—","—",A59*'⑤ 成長試算'!G15+B59*'⑤ 成長試算'!G12+C59*'⑤ 成長試算'!G9+D59*'⑤ 成長試算'!G6)</f>
        <v/>
      </c>
      <c r="L59" s="7">
        <f>IF('⑤ 成長試算'!G14="—","—",(A59*'⑤ 成長試算'!G16+B59*'⑤ 成長試算'!G13+C59*'⑤ 成長試算'!G10+D59*'⑤ 成長試算'!G7)/E59)</f>
        <v/>
      </c>
      <c r="M59" s="7">
        <f>IF('⑤ 成長試算'!L14="—","—",A59*'⑤ 成長試算'!L14+B59*'⑤ 成長試算'!L11+C59*'⑤ 成長試算'!L8+D59*'⑤ 成長試算'!L5)</f>
        <v/>
      </c>
      <c r="N59" s="7">
        <f>IF('⑤ 成長試算'!L14="—","—",A59*'⑤ 成長試算'!L15+B59*'⑤ 成長試算'!L12+C59*'⑤ 成長試算'!L9+D59*'⑤ 成長試算'!L6)</f>
        <v/>
      </c>
      <c r="O59" s="7">
        <f>IF('⑤ 成長試算'!L14="—","—",(A59*'⑤ 成長試算'!L16+B59*'⑤ 成長試算'!L13+C59*'⑤ 成長試算'!L10+D59*'⑤ 成長試算'!L7)/E59)</f>
        <v/>
      </c>
      <c r="P59" s="5" t="inlineStr"/>
    </row>
    <row r="60">
      <c r="A60" s="5" t="n">
        <v>1</v>
      </c>
      <c r="B60" s="5" t="n">
        <v>2</v>
      </c>
      <c r="C60" s="5" t="n">
        <v>1</v>
      </c>
      <c r="D60" s="5" t="n">
        <v>0</v>
      </c>
      <c r="E60" s="5" t="n">
        <v>4</v>
      </c>
      <c r="F60" s="10" t="n">
        <v>16</v>
      </c>
      <c r="G60" s="7">
        <f>IF('⑤ 成長試算'!C14="—","—",A60*'⑤ 成長試算'!C14+B60*'⑤ 成長試算'!C11+C60*'⑤ 成長試算'!C8+D60*'⑤ 成長試算'!C5)</f>
        <v/>
      </c>
      <c r="H60" s="7">
        <f>IF('⑤ 成長試算'!C14="—","—",A60*'⑤ 成長試算'!C15+B60*'⑤ 成長試算'!C12+C60*'⑤ 成長試算'!C9+D60*'⑤ 成長試算'!C6)</f>
        <v/>
      </c>
      <c r="I60" s="7">
        <f>IF('⑤ 成長試算'!C14="—","—",(A60*'⑤ 成長試算'!C16+B60*'⑤ 成長試算'!C13+C60*'⑤ 成長試算'!C10+D60*'⑤ 成長試算'!C7)/E60)</f>
        <v/>
      </c>
      <c r="J60" s="7">
        <f>IF('⑤ 成長試算'!G14="—","—",A60*'⑤ 成長試算'!G14+B60*'⑤ 成長試算'!G11+C60*'⑤ 成長試算'!G8+D60*'⑤ 成長試算'!G5)</f>
        <v/>
      </c>
      <c r="K60" s="7">
        <f>IF('⑤ 成長試算'!G14="—","—",A60*'⑤ 成長試算'!G15+B60*'⑤ 成長試算'!G12+C60*'⑤ 成長試算'!G9+D60*'⑤ 成長試算'!G6)</f>
        <v/>
      </c>
      <c r="L60" s="7">
        <f>IF('⑤ 成長試算'!G14="—","—",(A60*'⑤ 成長試算'!G16+B60*'⑤ 成長試算'!G13+C60*'⑤ 成長試算'!G10+D60*'⑤ 成長試算'!G7)/E60)</f>
        <v/>
      </c>
      <c r="M60" s="7">
        <f>IF('⑤ 成長試算'!L14="—","—",A60*'⑤ 成長試算'!L14+B60*'⑤ 成長試算'!L11+C60*'⑤ 成長試算'!L8+D60*'⑤ 成長試算'!L5)</f>
        <v/>
      </c>
      <c r="N60" s="7">
        <f>IF('⑤ 成長試算'!L14="—","—",A60*'⑤ 成長試算'!L15+B60*'⑤ 成長試算'!L12+C60*'⑤ 成長試算'!L9+D60*'⑤ 成長試算'!L6)</f>
        <v/>
      </c>
      <c r="O60" s="7">
        <f>IF('⑤ 成長試算'!L14="—","—",(A60*'⑤ 成長試算'!L16+B60*'⑤ 成長試算'!L13+C60*'⑤ 成長試算'!L10+D60*'⑤ 成長試算'!L7)/E60)</f>
        <v/>
      </c>
      <c r="P60" s="5" t="inlineStr"/>
    </row>
    <row r="61">
      <c r="A61" s="5" t="n">
        <v>0</v>
      </c>
      <c r="B61" s="5" t="n">
        <v>4</v>
      </c>
      <c r="C61" s="5" t="n">
        <v>0</v>
      </c>
      <c r="D61" s="5" t="n">
        <v>0</v>
      </c>
      <c r="E61" s="5" t="n">
        <v>4</v>
      </c>
      <c r="F61" s="10" t="n">
        <v>16</v>
      </c>
      <c r="G61" s="7">
        <f>IF('⑤ 成長試算'!C14="—","—",A61*'⑤ 成長試算'!C14+B61*'⑤ 成長試算'!C11+C61*'⑤ 成長試算'!C8+D61*'⑤ 成長試算'!C5)</f>
        <v/>
      </c>
      <c r="H61" s="7">
        <f>IF('⑤ 成長試算'!C14="—","—",A61*'⑤ 成長試算'!C15+B61*'⑤ 成長試算'!C12+C61*'⑤ 成長試算'!C9+D61*'⑤ 成長試算'!C6)</f>
        <v/>
      </c>
      <c r="I61" s="7">
        <f>IF('⑤ 成長試算'!C14="—","—",(A61*'⑤ 成長試算'!C16+B61*'⑤ 成長試算'!C13+C61*'⑤ 成長試算'!C10+D61*'⑤ 成長試算'!C7)/E61)</f>
        <v/>
      </c>
      <c r="J61" s="7">
        <f>IF('⑤ 成長試算'!G14="—","—",A61*'⑤ 成長試算'!G14+B61*'⑤ 成長試算'!G11+C61*'⑤ 成長試算'!G8+D61*'⑤ 成長試算'!G5)</f>
        <v/>
      </c>
      <c r="K61" s="7">
        <f>IF('⑤ 成長試算'!G14="—","—",A61*'⑤ 成長試算'!G15+B61*'⑤ 成長試算'!G12+C61*'⑤ 成長試算'!G9+D61*'⑤ 成長試算'!G6)</f>
        <v/>
      </c>
      <c r="L61" s="7">
        <f>IF('⑤ 成長試算'!G14="—","—",(A61*'⑤ 成長試算'!G16+B61*'⑤ 成長試算'!G13+C61*'⑤ 成長試算'!G10+D61*'⑤ 成長試算'!G7)/E61)</f>
        <v/>
      </c>
      <c r="M61" s="7">
        <f>IF('⑤ 成長試算'!L14="—","—",A61*'⑤ 成長試算'!L14+B61*'⑤ 成長試算'!L11+C61*'⑤ 成長試算'!L8+D61*'⑤ 成長試算'!L5)</f>
        <v/>
      </c>
      <c r="N61" s="7">
        <f>IF('⑤ 成長試算'!L14="—","—",A61*'⑤ 成長試算'!L15+B61*'⑤ 成長試算'!L12+C61*'⑤ 成長試算'!L9+D61*'⑤ 成長試算'!L6)</f>
        <v/>
      </c>
      <c r="O61" s="7">
        <f>IF('⑤ 成長試算'!L14="—","—",(A61*'⑤ 成長試算'!L16+B61*'⑤ 成長試算'!L13+C61*'⑤ 成長試算'!L10+D61*'⑤ 成長試算'!L7)/E61)</f>
        <v/>
      </c>
      <c r="P61" s="5" t="inlineStr"/>
    </row>
    <row r="62">
      <c r="A62" s="5" t="n">
        <v>2</v>
      </c>
      <c r="B62" s="5" t="n">
        <v>0</v>
      </c>
      <c r="C62" s="5" t="n">
        <v>1</v>
      </c>
      <c r="D62" s="5" t="n">
        <v>1</v>
      </c>
      <c r="E62" s="5" t="n">
        <v>4</v>
      </c>
      <c r="F62" s="10" t="n">
        <v>15</v>
      </c>
      <c r="G62" s="7">
        <f>IF('⑤ 成長試算'!C14="—","—",A62*'⑤ 成長試算'!C14+B62*'⑤ 成長試算'!C11+C62*'⑤ 成長試算'!C8+D62*'⑤ 成長試算'!C5)</f>
        <v/>
      </c>
      <c r="H62" s="7">
        <f>IF('⑤ 成長試算'!C14="—","—",A62*'⑤ 成長試算'!C15+B62*'⑤ 成長試算'!C12+C62*'⑤ 成長試算'!C9+D62*'⑤ 成長試算'!C6)</f>
        <v/>
      </c>
      <c r="I62" s="7">
        <f>IF('⑤ 成長試算'!C14="—","—",(A62*'⑤ 成長試算'!C16+B62*'⑤ 成長試算'!C13+C62*'⑤ 成長試算'!C10+D62*'⑤ 成長試算'!C7)/E62)</f>
        <v/>
      </c>
      <c r="J62" s="7">
        <f>IF('⑤ 成長試算'!G14="—","—",A62*'⑤ 成長試算'!G14+B62*'⑤ 成長試算'!G11+C62*'⑤ 成長試算'!G8+D62*'⑤ 成長試算'!G5)</f>
        <v/>
      </c>
      <c r="K62" s="7">
        <f>IF('⑤ 成長試算'!G14="—","—",A62*'⑤ 成長試算'!G15+B62*'⑤ 成長試算'!G12+C62*'⑤ 成長試算'!G9+D62*'⑤ 成長試算'!G6)</f>
        <v/>
      </c>
      <c r="L62" s="7">
        <f>IF('⑤ 成長試算'!G14="—","—",(A62*'⑤ 成長試算'!G16+B62*'⑤ 成長試算'!G13+C62*'⑤ 成長試算'!G10+D62*'⑤ 成長試算'!G7)/E62)</f>
        <v/>
      </c>
      <c r="M62" s="7">
        <f>IF('⑤ 成長試算'!L14="—","—",A62*'⑤ 成長試算'!L14+B62*'⑤ 成長試算'!L11+C62*'⑤ 成長試算'!L8+D62*'⑤ 成長試算'!L5)</f>
        <v/>
      </c>
      <c r="N62" s="7">
        <f>IF('⑤ 成長試算'!L14="—","—",A62*'⑤ 成長試算'!L15+B62*'⑤ 成長試算'!L12+C62*'⑤ 成長試算'!L9+D62*'⑤ 成長試算'!L6)</f>
        <v/>
      </c>
      <c r="O62" s="7">
        <f>IF('⑤ 成長試算'!L14="—","—",(A62*'⑤ 成長試算'!L16+B62*'⑤ 成長試算'!L13+C62*'⑤ 成長試算'!L10+D62*'⑤ 成長試算'!L7)/E62)</f>
        <v/>
      </c>
      <c r="P62" s="5" t="inlineStr"/>
    </row>
    <row r="63">
      <c r="A63" s="5" t="n">
        <v>1</v>
      </c>
      <c r="B63" s="5" t="n">
        <v>2</v>
      </c>
      <c r="C63" s="5" t="n">
        <v>0</v>
      </c>
      <c r="D63" s="5" t="n">
        <v>1</v>
      </c>
      <c r="E63" s="5" t="n">
        <v>4</v>
      </c>
      <c r="F63" s="10" t="n">
        <v>15</v>
      </c>
      <c r="G63" s="7">
        <f>IF('⑤ 成長試算'!C14="—","—",A63*'⑤ 成長試算'!C14+B63*'⑤ 成長試算'!C11+C63*'⑤ 成長試算'!C8+D63*'⑤ 成長試算'!C5)</f>
        <v/>
      </c>
      <c r="H63" s="7">
        <f>IF('⑤ 成長試算'!C14="—","—",A63*'⑤ 成長試算'!C15+B63*'⑤ 成長試算'!C12+C63*'⑤ 成長試算'!C9+D63*'⑤ 成長試算'!C6)</f>
        <v/>
      </c>
      <c r="I63" s="7">
        <f>IF('⑤ 成長試算'!C14="—","—",(A63*'⑤ 成長試算'!C16+B63*'⑤ 成長試算'!C13+C63*'⑤ 成長試算'!C10+D63*'⑤ 成長試算'!C7)/E63)</f>
        <v/>
      </c>
      <c r="J63" s="7">
        <f>IF('⑤ 成長試算'!G14="—","—",A63*'⑤ 成長試算'!G14+B63*'⑤ 成長試算'!G11+C63*'⑤ 成長試算'!G8+D63*'⑤ 成長試算'!G5)</f>
        <v/>
      </c>
      <c r="K63" s="7">
        <f>IF('⑤ 成長試算'!G14="—","—",A63*'⑤ 成長試算'!G15+B63*'⑤ 成長試算'!G12+C63*'⑤ 成長試算'!G9+D63*'⑤ 成長試算'!G6)</f>
        <v/>
      </c>
      <c r="L63" s="7">
        <f>IF('⑤ 成長試算'!G14="—","—",(A63*'⑤ 成長試算'!G16+B63*'⑤ 成長試算'!G13+C63*'⑤ 成長試算'!G10+D63*'⑤ 成長試算'!G7)/E63)</f>
        <v/>
      </c>
      <c r="M63" s="7">
        <f>IF('⑤ 成長試算'!L14="—","—",A63*'⑤ 成長試算'!L14+B63*'⑤ 成長試算'!L11+C63*'⑤ 成長試算'!L8+D63*'⑤ 成長試算'!L5)</f>
        <v/>
      </c>
      <c r="N63" s="7">
        <f>IF('⑤ 成長試算'!L14="—","—",A63*'⑤ 成長試算'!L15+B63*'⑤ 成長試算'!L12+C63*'⑤ 成長試算'!L9+D63*'⑤ 成長試算'!L6)</f>
        <v/>
      </c>
      <c r="O63" s="7">
        <f>IF('⑤ 成長試算'!L14="—","—",(A63*'⑤ 成長試算'!L16+B63*'⑤ 成長試算'!L13+C63*'⑤ 成長試算'!L10+D63*'⑤ 成長試算'!L7)/E63)</f>
        <v/>
      </c>
      <c r="P63" s="5" t="inlineStr"/>
    </row>
    <row r="64">
      <c r="A64" s="5" t="n">
        <v>1</v>
      </c>
      <c r="B64" s="5" t="n">
        <v>1</v>
      </c>
      <c r="C64" s="5" t="n">
        <v>2</v>
      </c>
      <c r="D64" s="5" t="n">
        <v>0</v>
      </c>
      <c r="E64" s="5" t="n">
        <v>4</v>
      </c>
      <c r="F64" s="10" t="n">
        <v>15</v>
      </c>
      <c r="G64" s="7">
        <f>IF('⑤ 成長試算'!C14="—","—",A64*'⑤ 成長試算'!C14+B64*'⑤ 成長試算'!C11+C64*'⑤ 成長試算'!C8+D64*'⑤ 成長試算'!C5)</f>
        <v/>
      </c>
      <c r="H64" s="7">
        <f>IF('⑤ 成長試算'!C14="—","—",A64*'⑤ 成長試算'!C15+B64*'⑤ 成長試算'!C12+C64*'⑤ 成長試算'!C9+D64*'⑤ 成長試算'!C6)</f>
        <v/>
      </c>
      <c r="I64" s="7">
        <f>IF('⑤ 成長試算'!C14="—","—",(A64*'⑤ 成長試算'!C16+B64*'⑤ 成長試算'!C13+C64*'⑤ 成長試算'!C10+D64*'⑤ 成長試算'!C7)/E64)</f>
        <v/>
      </c>
      <c r="J64" s="7">
        <f>IF('⑤ 成長試算'!G14="—","—",A64*'⑤ 成長試算'!G14+B64*'⑤ 成長試算'!G11+C64*'⑤ 成長試算'!G8+D64*'⑤ 成長試算'!G5)</f>
        <v/>
      </c>
      <c r="K64" s="7">
        <f>IF('⑤ 成長試算'!G14="—","—",A64*'⑤ 成長試算'!G15+B64*'⑤ 成長試算'!G12+C64*'⑤ 成長試算'!G9+D64*'⑤ 成長試算'!G6)</f>
        <v/>
      </c>
      <c r="L64" s="7">
        <f>IF('⑤ 成長試算'!G14="—","—",(A64*'⑤ 成長試算'!G16+B64*'⑤ 成長試算'!G13+C64*'⑤ 成長試算'!G10+D64*'⑤ 成長試算'!G7)/E64)</f>
        <v/>
      </c>
      <c r="M64" s="7">
        <f>IF('⑤ 成長試算'!L14="—","—",A64*'⑤ 成長試算'!L14+B64*'⑤ 成長試算'!L11+C64*'⑤ 成長試算'!L8+D64*'⑤ 成長試算'!L5)</f>
        <v/>
      </c>
      <c r="N64" s="7">
        <f>IF('⑤ 成長試算'!L14="—","—",A64*'⑤ 成長試算'!L15+B64*'⑤ 成長試算'!L12+C64*'⑤ 成長試算'!L9+D64*'⑤ 成長試算'!L6)</f>
        <v/>
      </c>
      <c r="O64" s="7">
        <f>IF('⑤ 成長試算'!L14="—","—",(A64*'⑤ 成長試算'!L16+B64*'⑤ 成長試算'!L13+C64*'⑤ 成長試算'!L10+D64*'⑤ 成長試算'!L7)/E64)</f>
        <v/>
      </c>
      <c r="P64" s="5" t="inlineStr"/>
    </row>
    <row r="65">
      <c r="A65" s="5" t="n">
        <v>0</v>
      </c>
      <c r="B65" s="5" t="n">
        <v>3</v>
      </c>
      <c r="C65" s="5" t="n">
        <v>1</v>
      </c>
      <c r="D65" s="5" t="n">
        <v>0</v>
      </c>
      <c r="E65" s="5" t="n">
        <v>4</v>
      </c>
      <c r="F65" s="10" t="n">
        <v>15</v>
      </c>
      <c r="G65" s="7">
        <f>IF('⑤ 成長試算'!C14="—","—",A65*'⑤ 成長試算'!C14+B65*'⑤ 成長試算'!C11+C65*'⑤ 成長試算'!C8+D65*'⑤ 成長試算'!C5)</f>
        <v/>
      </c>
      <c r="H65" s="7">
        <f>IF('⑤ 成長試算'!C14="—","—",A65*'⑤ 成長試算'!C15+B65*'⑤ 成長試算'!C12+C65*'⑤ 成長試算'!C9+D65*'⑤ 成長試算'!C6)</f>
        <v/>
      </c>
      <c r="I65" s="7">
        <f>IF('⑤ 成長試算'!C14="—","—",(A65*'⑤ 成長試算'!C16+B65*'⑤ 成長試算'!C13+C65*'⑤ 成長試算'!C10+D65*'⑤ 成長試算'!C7)/E65)</f>
        <v/>
      </c>
      <c r="J65" s="7">
        <f>IF('⑤ 成長試算'!G14="—","—",A65*'⑤ 成長試算'!G14+B65*'⑤ 成長試算'!G11+C65*'⑤ 成長試算'!G8+D65*'⑤ 成長試算'!G5)</f>
        <v/>
      </c>
      <c r="K65" s="7">
        <f>IF('⑤ 成長試算'!G14="—","—",A65*'⑤ 成長試算'!G15+B65*'⑤ 成長試算'!G12+C65*'⑤ 成長試算'!G9+D65*'⑤ 成長試算'!G6)</f>
        <v/>
      </c>
      <c r="L65" s="7">
        <f>IF('⑤ 成長試算'!G14="—","—",(A65*'⑤ 成長試算'!G16+B65*'⑤ 成長試算'!G13+C65*'⑤ 成長試算'!G10+D65*'⑤ 成長試算'!G7)/E65)</f>
        <v/>
      </c>
      <c r="M65" s="7">
        <f>IF('⑤ 成長試算'!L14="—","—",A65*'⑤ 成長試算'!L14+B65*'⑤ 成長試算'!L11+C65*'⑤ 成長試算'!L8+D65*'⑤ 成長試算'!L5)</f>
        <v/>
      </c>
      <c r="N65" s="7">
        <f>IF('⑤ 成長試算'!L14="—","—",A65*'⑤ 成長試算'!L15+B65*'⑤ 成長試算'!L12+C65*'⑤ 成長試算'!L9+D65*'⑤ 成長試算'!L6)</f>
        <v/>
      </c>
      <c r="O65" s="7">
        <f>IF('⑤ 成長試算'!L14="—","—",(A65*'⑤ 成長試算'!L16+B65*'⑤ 成長試算'!L13+C65*'⑤ 成長試算'!L10+D65*'⑤ 成長試算'!L7)/E65)</f>
        <v/>
      </c>
      <c r="P65" s="5" t="inlineStr"/>
    </row>
    <row r="66">
      <c r="A66" s="5" t="n">
        <v>2</v>
      </c>
      <c r="B66" s="5" t="n">
        <v>0</v>
      </c>
      <c r="C66" s="5" t="n">
        <v>0</v>
      </c>
      <c r="D66" s="5" t="n">
        <v>2</v>
      </c>
      <c r="E66" s="5" t="n">
        <v>4</v>
      </c>
      <c r="F66" s="10" t="n">
        <v>14</v>
      </c>
      <c r="G66" s="7">
        <f>IF('⑤ 成長試算'!C14="—","—",A66*'⑤ 成長試算'!C14+B66*'⑤ 成長試算'!C11+C66*'⑤ 成長試算'!C8+D66*'⑤ 成長試算'!C5)</f>
        <v/>
      </c>
      <c r="H66" s="7">
        <f>IF('⑤ 成長試算'!C14="—","—",A66*'⑤ 成長試算'!C15+B66*'⑤ 成長試算'!C12+C66*'⑤ 成長試算'!C9+D66*'⑤ 成長試算'!C6)</f>
        <v/>
      </c>
      <c r="I66" s="7">
        <f>IF('⑤ 成長試算'!C14="—","—",(A66*'⑤ 成長試算'!C16+B66*'⑤ 成長試算'!C13+C66*'⑤ 成長試算'!C10+D66*'⑤ 成長試算'!C7)/E66)</f>
        <v/>
      </c>
      <c r="J66" s="7">
        <f>IF('⑤ 成長試算'!G14="—","—",A66*'⑤ 成長試算'!G14+B66*'⑤ 成長試算'!G11+C66*'⑤ 成長試算'!G8+D66*'⑤ 成長試算'!G5)</f>
        <v/>
      </c>
      <c r="K66" s="7">
        <f>IF('⑤ 成長試算'!G14="—","—",A66*'⑤ 成長試算'!G15+B66*'⑤ 成長試算'!G12+C66*'⑤ 成長試算'!G9+D66*'⑤ 成長試算'!G6)</f>
        <v/>
      </c>
      <c r="L66" s="7">
        <f>IF('⑤ 成長試算'!G14="—","—",(A66*'⑤ 成長試算'!G16+B66*'⑤ 成長試算'!G13+C66*'⑤ 成長試算'!G10+D66*'⑤ 成長試算'!G7)/E66)</f>
        <v/>
      </c>
      <c r="M66" s="7">
        <f>IF('⑤ 成長試算'!L14="—","—",A66*'⑤ 成長試算'!L14+B66*'⑤ 成長試算'!L11+C66*'⑤ 成長試算'!L8+D66*'⑤ 成長試算'!L5)</f>
        <v/>
      </c>
      <c r="N66" s="7">
        <f>IF('⑤ 成長試算'!L14="—","—",A66*'⑤ 成長試算'!L15+B66*'⑤ 成長試算'!L12+C66*'⑤ 成長試算'!L9+D66*'⑤ 成長試算'!L6)</f>
        <v/>
      </c>
      <c r="O66" s="7">
        <f>IF('⑤ 成長試算'!L14="—","—",(A66*'⑤ 成長試算'!L16+B66*'⑤ 成長試算'!L13+C66*'⑤ 成長試算'!L10+D66*'⑤ 成長試算'!L7)/E66)</f>
        <v/>
      </c>
      <c r="P66" s="5" t="inlineStr"/>
    </row>
    <row r="67">
      <c r="A67" s="5" t="n">
        <v>1</v>
      </c>
      <c r="B67" s="5" t="n">
        <v>1</v>
      </c>
      <c r="C67" s="5" t="n">
        <v>1</v>
      </c>
      <c r="D67" s="5" t="n">
        <v>1</v>
      </c>
      <c r="E67" s="5" t="n">
        <v>4</v>
      </c>
      <c r="F67" s="10" t="n">
        <v>14</v>
      </c>
      <c r="G67" s="7">
        <f>IF('⑤ 成長試算'!C14="—","—",A67*'⑤ 成長試算'!C14+B67*'⑤ 成長試算'!C11+C67*'⑤ 成長試算'!C8+D67*'⑤ 成長試算'!C5)</f>
        <v/>
      </c>
      <c r="H67" s="7">
        <f>IF('⑤ 成長試算'!C14="—","—",A67*'⑤ 成長試算'!C15+B67*'⑤ 成長試算'!C12+C67*'⑤ 成長試算'!C9+D67*'⑤ 成長試算'!C6)</f>
        <v/>
      </c>
      <c r="I67" s="7">
        <f>IF('⑤ 成長試算'!C14="—","—",(A67*'⑤ 成長試算'!C16+B67*'⑤ 成長試算'!C13+C67*'⑤ 成長試算'!C10+D67*'⑤ 成長試算'!C7)/E67)</f>
        <v/>
      </c>
      <c r="J67" s="7">
        <f>IF('⑤ 成長試算'!G14="—","—",A67*'⑤ 成長試算'!G14+B67*'⑤ 成長試算'!G11+C67*'⑤ 成長試算'!G8+D67*'⑤ 成長試算'!G5)</f>
        <v/>
      </c>
      <c r="K67" s="7">
        <f>IF('⑤ 成長試算'!G14="—","—",A67*'⑤ 成長試算'!G15+B67*'⑤ 成長試算'!G12+C67*'⑤ 成長試算'!G9+D67*'⑤ 成長試算'!G6)</f>
        <v/>
      </c>
      <c r="L67" s="7">
        <f>IF('⑤ 成長試算'!G14="—","—",(A67*'⑤ 成長試算'!G16+B67*'⑤ 成長試算'!G13+C67*'⑤ 成長試算'!G10+D67*'⑤ 成長試算'!G7)/E67)</f>
        <v/>
      </c>
      <c r="M67" s="7">
        <f>IF('⑤ 成長試算'!L14="—","—",A67*'⑤ 成長試算'!L14+B67*'⑤ 成長試算'!L11+C67*'⑤ 成長試算'!L8+D67*'⑤ 成長試算'!L5)</f>
        <v/>
      </c>
      <c r="N67" s="7">
        <f>IF('⑤ 成長試算'!L14="—","—",A67*'⑤ 成長試算'!L15+B67*'⑤ 成長試算'!L12+C67*'⑤ 成長試算'!L9+D67*'⑤ 成長試算'!L6)</f>
        <v/>
      </c>
      <c r="O67" s="7">
        <f>IF('⑤ 成長試算'!L14="—","—",(A67*'⑤ 成長試算'!L16+B67*'⑤ 成長試算'!L13+C67*'⑤ 成長試算'!L10+D67*'⑤ 成長試算'!L7)/E67)</f>
        <v/>
      </c>
      <c r="P67" s="5" t="inlineStr"/>
    </row>
    <row r="68">
      <c r="A68" s="5" t="n">
        <v>1</v>
      </c>
      <c r="B68" s="5" t="n">
        <v>0</v>
      </c>
      <c r="C68" s="5" t="n">
        <v>3</v>
      </c>
      <c r="D68" s="5" t="n">
        <v>0</v>
      </c>
      <c r="E68" s="5" t="n">
        <v>4</v>
      </c>
      <c r="F68" s="10" t="n">
        <v>14</v>
      </c>
      <c r="G68" s="7">
        <f>IF('⑤ 成長試算'!C14="—","—",A68*'⑤ 成長試算'!C14+B68*'⑤ 成長試算'!C11+C68*'⑤ 成長試算'!C8+D68*'⑤ 成長試算'!C5)</f>
        <v/>
      </c>
      <c r="H68" s="7">
        <f>IF('⑤ 成長試算'!C14="—","—",A68*'⑤ 成長試算'!C15+B68*'⑤ 成長試算'!C12+C68*'⑤ 成長試算'!C9+D68*'⑤ 成長試算'!C6)</f>
        <v/>
      </c>
      <c r="I68" s="7">
        <f>IF('⑤ 成長試算'!C14="—","—",(A68*'⑤ 成長試算'!C16+B68*'⑤ 成長試算'!C13+C68*'⑤ 成長試算'!C10+D68*'⑤ 成長試算'!C7)/E68)</f>
        <v/>
      </c>
      <c r="J68" s="7">
        <f>IF('⑤ 成長試算'!G14="—","—",A68*'⑤ 成長試算'!G14+B68*'⑤ 成長試算'!G11+C68*'⑤ 成長試算'!G8+D68*'⑤ 成長試算'!G5)</f>
        <v/>
      </c>
      <c r="K68" s="7">
        <f>IF('⑤ 成長試算'!G14="—","—",A68*'⑤ 成長試算'!G15+B68*'⑤ 成長試算'!G12+C68*'⑤ 成長試算'!G9+D68*'⑤ 成長試算'!G6)</f>
        <v/>
      </c>
      <c r="L68" s="7">
        <f>IF('⑤ 成長試算'!G14="—","—",(A68*'⑤ 成長試算'!G16+B68*'⑤ 成長試算'!G13+C68*'⑤ 成長試算'!G10+D68*'⑤ 成長試算'!G7)/E68)</f>
        <v/>
      </c>
      <c r="M68" s="7">
        <f>IF('⑤ 成長試算'!L14="—","—",A68*'⑤ 成長試算'!L14+B68*'⑤ 成長試算'!L11+C68*'⑤ 成長試算'!L8+D68*'⑤ 成長試算'!L5)</f>
        <v/>
      </c>
      <c r="N68" s="7">
        <f>IF('⑤ 成長試算'!L14="—","—",A68*'⑤ 成長試算'!L15+B68*'⑤ 成長試算'!L12+C68*'⑤ 成長試算'!L9+D68*'⑤ 成長試算'!L6)</f>
        <v/>
      </c>
      <c r="O68" s="7">
        <f>IF('⑤ 成長試算'!L14="—","—",(A68*'⑤ 成長試算'!L16+B68*'⑤ 成長試算'!L13+C68*'⑤ 成長試算'!L10+D68*'⑤ 成長試算'!L7)/E68)</f>
        <v/>
      </c>
      <c r="P68" s="5" t="inlineStr"/>
    </row>
    <row r="69">
      <c r="A69" s="5" t="n">
        <v>0</v>
      </c>
      <c r="B69" s="5" t="n">
        <v>3</v>
      </c>
      <c r="C69" s="5" t="n">
        <v>0</v>
      </c>
      <c r="D69" s="5" t="n">
        <v>1</v>
      </c>
      <c r="E69" s="5" t="n">
        <v>4</v>
      </c>
      <c r="F69" s="10" t="n">
        <v>14</v>
      </c>
      <c r="G69" s="7">
        <f>IF('⑤ 成長試算'!C14="—","—",A69*'⑤ 成長試算'!C14+B69*'⑤ 成長試算'!C11+C69*'⑤ 成長試算'!C8+D69*'⑤ 成長試算'!C5)</f>
        <v/>
      </c>
      <c r="H69" s="7">
        <f>IF('⑤ 成長試算'!C14="—","—",A69*'⑤ 成長試算'!C15+B69*'⑤ 成長試算'!C12+C69*'⑤ 成長試算'!C9+D69*'⑤ 成長試算'!C6)</f>
        <v/>
      </c>
      <c r="I69" s="7">
        <f>IF('⑤ 成長試算'!C14="—","—",(A69*'⑤ 成長試算'!C16+B69*'⑤ 成長試算'!C13+C69*'⑤ 成長試算'!C10+D69*'⑤ 成長試算'!C7)/E69)</f>
        <v/>
      </c>
      <c r="J69" s="7">
        <f>IF('⑤ 成長試算'!G14="—","—",A69*'⑤ 成長試算'!G14+B69*'⑤ 成長試算'!G11+C69*'⑤ 成長試算'!G8+D69*'⑤ 成長試算'!G5)</f>
        <v/>
      </c>
      <c r="K69" s="7">
        <f>IF('⑤ 成長試算'!G14="—","—",A69*'⑤ 成長試算'!G15+B69*'⑤ 成長試算'!G12+C69*'⑤ 成長試算'!G9+D69*'⑤ 成長試算'!G6)</f>
        <v/>
      </c>
      <c r="L69" s="7">
        <f>IF('⑤ 成長試算'!G14="—","—",(A69*'⑤ 成長試算'!G16+B69*'⑤ 成長試算'!G13+C69*'⑤ 成長試算'!G10+D69*'⑤ 成長試算'!G7)/E69)</f>
        <v/>
      </c>
      <c r="M69" s="7">
        <f>IF('⑤ 成長試算'!L14="—","—",A69*'⑤ 成長試算'!L14+B69*'⑤ 成長試算'!L11+C69*'⑤ 成長試算'!L8+D69*'⑤ 成長試算'!L5)</f>
        <v/>
      </c>
      <c r="N69" s="7">
        <f>IF('⑤ 成長試算'!L14="—","—",A69*'⑤ 成長試算'!L15+B69*'⑤ 成長試算'!L12+C69*'⑤ 成長試算'!L9+D69*'⑤ 成長試算'!L6)</f>
        <v/>
      </c>
      <c r="O69" s="7">
        <f>IF('⑤ 成長試算'!L14="—","—",(A69*'⑤ 成長試算'!L16+B69*'⑤ 成長試算'!L13+C69*'⑤ 成長試算'!L10+D69*'⑤ 成長試算'!L7)/E69)</f>
        <v/>
      </c>
      <c r="P69" s="5" t="inlineStr"/>
    </row>
    <row r="70">
      <c r="A70" s="5" t="n">
        <v>0</v>
      </c>
      <c r="B70" s="5" t="n">
        <v>2</v>
      </c>
      <c r="C70" s="5" t="n">
        <v>2</v>
      </c>
      <c r="D70" s="5" t="n">
        <v>0</v>
      </c>
      <c r="E70" s="5" t="n">
        <v>4</v>
      </c>
      <c r="F70" s="10" t="n">
        <v>14</v>
      </c>
      <c r="G70" s="7">
        <f>IF('⑤ 成長試算'!C14="—","—",A70*'⑤ 成長試算'!C14+B70*'⑤ 成長試算'!C11+C70*'⑤ 成長試算'!C8+D70*'⑤ 成長試算'!C5)</f>
        <v/>
      </c>
      <c r="H70" s="7">
        <f>IF('⑤ 成長試算'!C14="—","—",A70*'⑤ 成長試算'!C15+B70*'⑤ 成長試算'!C12+C70*'⑤ 成長試算'!C9+D70*'⑤ 成長試算'!C6)</f>
        <v/>
      </c>
      <c r="I70" s="7">
        <f>IF('⑤ 成長試算'!C14="—","—",(A70*'⑤ 成長試算'!C16+B70*'⑤ 成長試算'!C13+C70*'⑤ 成長試算'!C10+D70*'⑤ 成長試算'!C7)/E70)</f>
        <v/>
      </c>
      <c r="J70" s="7">
        <f>IF('⑤ 成長試算'!G14="—","—",A70*'⑤ 成長試算'!G14+B70*'⑤ 成長試算'!G11+C70*'⑤ 成長試算'!G8+D70*'⑤ 成長試算'!G5)</f>
        <v/>
      </c>
      <c r="K70" s="7">
        <f>IF('⑤ 成長試算'!G14="—","—",A70*'⑤ 成長試算'!G15+B70*'⑤ 成長試算'!G12+C70*'⑤ 成長試算'!G9+D70*'⑤ 成長試算'!G6)</f>
        <v/>
      </c>
      <c r="L70" s="7">
        <f>IF('⑤ 成長試算'!G14="—","—",(A70*'⑤ 成長試算'!G16+B70*'⑤ 成長試算'!G13+C70*'⑤ 成長試算'!G10+D70*'⑤ 成長試算'!G7)/E70)</f>
        <v/>
      </c>
      <c r="M70" s="7">
        <f>IF('⑤ 成長試算'!L14="—","—",A70*'⑤ 成長試算'!L14+B70*'⑤ 成長試算'!L11+C70*'⑤ 成長試算'!L8+D70*'⑤ 成長試算'!L5)</f>
        <v/>
      </c>
      <c r="N70" s="7">
        <f>IF('⑤ 成長試算'!L14="—","—",A70*'⑤ 成長試算'!L15+B70*'⑤ 成長試算'!L12+C70*'⑤ 成長試算'!L9+D70*'⑤ 成長試算'!L6)</f>
        <v/>
      </c>
      <c r="O70" s="7">
        <f>IF('⑤ 成長試算'!L14="—","—",(A70*'⑤ 成長試算'!L16+B70*'⑤ 成長試算'!L13+C70*'⑤ 成長試算'!L10+D70*'⑤ 成長試算'!L7)/E70)</f>
        <v/>
      </c>
      <c r="P70" s="5" t="inlineStr"/>
    </row>
    <row r="71">
      <c r="A71" s="5" t="n">
        <v>1</v>
      </c>
      <c r="B71" s="5" t="n">
        <v>1</v>
      </c>
      <c r="C71" s="5" t="n">
        <v>0</v>
      </c>
      <c r="D71" s="5" t="n">
        <v>2</v>
      </c>
      <c r="E71" s="5" t="n">
        <v>4</v>
      </c>
      <c r="F71" s="10" t="n">
        <v>13</v>
      </c>
      <c r="G71" s="7">
        <f>IF('⑤ 成長試算'!C14="—","—",A71*'⑤ 成長試算'!C14+B71*'⑤ 成長試算'!C11+C71*'⑤ 成長試算'!C8+D71*'⑤ 成長試算'!C5)</f>
        <v/>
      </c>
      <c r="H71" s="7">
        <f>IF('⑤ 成長試算'!C14="—","—",A71*'⑤ 成長試算'!C15+B71*'⑤ 成長試算'!C12+C71*'⑤ 成長試算'!C9+D71*'⑤ 成長試算'!C6)</f>
        <v/>
      </c>
      <c r="I71" s="7">
        <f>IF('⑤ 成長試算'!C14="—","—",(A71*'⑤ 成長試算'!C16+B71*'⑤ 成長試算'!C13+C71*'⑤ 成長試算'!C10+D71*'⑤ 成長試算'!C7)/E71)</f>
        <v/>
      </c>
      <c r="J71" s="7">
        <f>IF('⑤ 成長試算'!G14="—","—",A71*'⑤ 成長試算'!G14+B71*'⑤ 成長試算'!G11+C71*'⑤ 成長試算'!G8+D71*'⑤ 成長試算'!G5)</f>
        <v/>
      </c>
      <c r="K71" s="7">
        <f>IF('⑤ 成長試算'!G14="—","—",A71*'⑤ 成長試算'!G15+B71*'⑤ 成長試算'!G12+C71*'⑤ 成長試算'!G9+D71*'⑤ 成長試算'!G6)</f>
        <v/>
      </c>
      <c r="L71" s="7">
        <f>IF('⑤ 成長試算'!G14="—","—",(A71*'⑤ 成長試算'!G16+B71*'⑤ 成長試算'!G13+C71*'⑤ 成長試算'!G10+D71*'⑤ 成長試算'!G7)/E71)</f>
        <v/>
      </c>
      <c r="M71" s="7">
        <f>IF('⑤ 成長試算'!L14="—","—",A71*'⑤ 成長試算'!L14+B71*'⑤ 成長試算'!L11+C71*'⑤ 成長試算'!L8+D71*'⑤ 成長試算'!L5)</f>
        <v/>
      </c>
      <c r="N71" s="7">
        <f>IF('⑤ 成長試算'!L14="—","—",A71*'⑤ 成長試算'!L15+B71*'⑤ 成長試算'!L12+C71*'⑤ 成長試算'!L9+D71*'⑤ 成長試算'!L6)</f>
        <v/>
      </c>
      <c r="O71" s="7">
        <f>IF('⑤ 成長試算'!L14="—","—",(A71*'⑤ 成長試算'!L16+B71*'⑤ 成長試算'!L13+C71*'⑤ 成長試算'!L10+D71*'⑤ 成長試算'!L7)/E71)</f>
        <v/>
      </c>
      <c r="P71" s="5" t="inlineStr"/>
    </row>
    <row r="72">
      <c r="A72" s="5" t="n">
        <v>1</v>
      </c>
      <c r="B72" s="5" t="n">
        <v>0</v>
      </c>
      <c r="C72" s="5" t="n">
        <v>2</v>
      </c>
      <c r="D72" s="5" t="n">
        <v>1</v>
      </c>
      <c r="E72" s="5" t="n">
        <v>4</v>
      </c>
      <c r="F72" s="10" t="n">
        <v>13</v>
      </c>
      <c r="G72" s="7">
        <f>IF('⑤ 成長試算'!C14="—","—",A72*'⑤ 成長試算'!C14+B72*'⑤ 成長試算'!C11+C72*'⑤ 成長試算'!C8+D72*'⑤ 成長試算'!C5)</f>
        <v/>
      </c>
      <c r="H72" s="7">
        <f>IF('⑤ 成長試算'!C14="—","—",A72*'⑤ 成長試算'!C15+B72*'⑤ 成長試算'!C12+C72*'⑤ 成長試算'!C9+D72*'⑤ 成長試算'!C6)</f>
        <v/>
      </c>
      <c r="I72" s="7">
        <f>IF('⑤ 成長試算'!C14="—","—",(A72*'⑤ 成長試算'!C16+B72*'⑤ 成長試算'!C13+C72*'⑤ 成長試算'!C10+D72*'⑤ 成長試算'!C7)/E72)</f>
        <v/>
      </c>
      <c r="J72" s="7">
        <f>IF('⑤ 成長試算'!G14="—","—",A72*'⑤ 成長試算'!G14+B72*'⑤ 成長試算'!G11+C72*'⑤ 成長試算'!G8+D72*'⑤ 成長試算'!G5)</f>
        <v/>
      </c>
      <c r="K72" s="7">
        <f>IF('⑤ 成長試算'!G14="—","—",A72*'⑤ 成長試算'!G15+B72*'⑤ 成長試算'!G12+C72*'⑤ 成長試算'!G9+D72*'⑤ 成長試算'!G6)</f>
        <v/>
      </c>
      <c r="L72" s="7">
        <f>IF('⑤ 成長試算'!G14="—","—",(A72*'⑤ 成長試算'!G16+B72*'⑤ 成長試算'!G13+C72*'⑤ 成長試算'!G10+D72*'⑤ 成長試算'!G7)/E72)</f>
        <v/>
      </c>
      <c r="M72" s="7">
        <f>IF('⑤ 成長試算'!L14="—","—",A72*'⑤ 成長試算'!L14+B72*'⑤ 成長試算'!L11+C72*'⑤ 成長試算'!L8+D72*'⑤ 成長試算'!L5)</f>
        <v/>
      </c>
      <c r="N72" s="7">
        <f>IF('⑤ 成長試算'!L14="—","—",A72*'⑤ 成長試算'!L15+B72*'⑤ 成長試算'!L12+C72*'⑤ 成長試算'!L9+D72*'⑤ 成長試算'!L6)</f>
        <v/>
      </c>
      <c r="O72" s="7">
        <f>IF('⑤ 成長試算'!L14="—","—",(A72*'⑤ 成長試算'!L16+B72*'⑤ 成長試算'!L13+C72*'⑤ 成長試算'!L10+D72*'⑤ 成長試算'!L7)/E72)</f>
        <v/>
      </c>
      <c r="P72" s="5" t="inlineStr"/>
    </row>
    <row r="73">
      <c r="A73" s="5" t="n">
        <v>0</v>
      </c>
      <c r="B73" s="5" t="n">
        <v>2</v>
      </c>
      <c r="C73" s="5" t="n">
        <v>1</v>
      </c>
      <c r="D73" s="5" t="n">
        <v>1</v>
      </c>
      <c r="E73" s="5" t="n">
        <v>4</v>
      </c>
      <c r="F73" s="10" t="n">
        <v>13</v>
      </c>
      <c r="G73" s="7">
        <f>IF('⑤ 成長試算'!C14="—","—",A73*'⑤ 成長試算'!C14+B73*'⑤ 成長試算'!C11+C73*'⑤ 成長試算'!C8+D73*'⑤ 成長試算'!C5)</f>
        <v/>
      </c>
      <c r="H73" s="7">
        <f>IF('⑤ 成長試算'!C14="—","—",A73*'⑤ 成長試算'!C15+B73*'⑤ 成長試算'!C12+C73*'⑤ 成長試算'!C9+D73*'⑤ 成長試算'!C6)</f>
        <v/>
      </c>
      <c r="I73" s="7">
        <f>IF('⑤ 成長試算'!C14="—","—",(A73*'⑤ 成長試算'!C16+B73*'⑤ 成長試算'!C13+C73*'⑤ 成長試算'!C10+D73*'⑤ 成長試算'!C7)/E73)</f>
        <v/>
      </c>
      <c r="J73" s="7">
        <f>IF('⑤ 成長試算'!G14="—","—",A73*'⑤ 成長試算'!G14+B73*'⑤ 成長試算'!G11+C73*'⑤ 成長試算'!G8+D73*'⑤ 成長試算'!G5)</f>
        <v/>
      </c>
      <c r="K73" s="7">
        <f>IF('⑤ 成長試算'!G14="—","—",A73*'⑤ 成長試算'!G15+B73*'⑤ 成長試算'!G12+C73*'⑤ 成長試算'!G9+D73*'⑤ 成長試算'!G6)</f>
        <v/>
      </c>
      <c r="L73" s="7">
        <f>IF('⑤ 成長試算'!G14="—","—",(A73*'⑤ 成長試算'!G16+B73*'⑤ 成長試算'!G13+C73*'⑤ 成長試算'!G10+D73*'⑤ 成長試算'!G7)/E73)</f>
        <v/>
      </c>
      <c r="M73" s="7">
        <f>IF('⑤ 成長試算'!L14="—","—",A73*'⑤ 成長試算'!L14+B73*'⑤ 成長試算'!L11+C73*'⑤ 成長試算'!L8+D73*'⑤ 成長試算'!L5)</f>
        <v/>
      </c>
      <c r="N73" s="7">
        <f>IF('⑤ 成長試算'!L14="—","—",A73*'⑤ 成長試算'!L15+B73*'⑤ 成長試算'!L12+C73*'⑤ 成長試算'!L9+D73*'⑤ 成長試算'!L6)</f>
        <v/>
      </c>
      <c r="O73" s="7">
        <f>IF('⑤ 成長試算'!L14="—","—",(A73*'⑤ 成長試算'!L16+B73*'⑤ 成長試算'!L13+C73*'⑤ 成長試算'!L10+D73*'⑤ 成長試算'!L7)/E73)</f>
        <v/>
      </c>
      <c r="P73" s="5" t="inlineStr"/>
    </row>
    <row r="74">
      <c r="A74" s="5" t="n">
        <v>0</v>
      </c>
      <c r="B74" s="5" t="n">
        <v>1</v>
      </c>
      <c r="C74" s="5" t="n">
        <v>3</v>
      </c>
      <c r="D74" s="5" t="n">
        <v>0</v>
      </c>
      <c r="E74" s="5" t="n">
        <v>4</v>
      </c>
      <c r="F74" s="10" t="n">
        <v>13</v>
      </c>
      <c r="G74" s="7">
        <f>IF('⑤ 成長試算'!C14="—","—",A74*'⑤ 成長試算'!C14+B74*'⑤ 成長試算'!C11+C74*'⑤ 成長試算'!C8+D74*'⑤ 成長試算'!C5)</f>
        <v/>
      </c>
      <c r="H74" s="7">
        <f>IF('⑤ 成長試算'!C14="—","—",A74*'⑤ 成長試算'!C15+B74*'⑤ 成長試算'!C12+C74*'⑤ 成長試算'!C9+D74*'⑤ 成長試算'!C6)</f>
        <v/>
      </c>
      <c r="I74" s="7">
        <f>IF('⑤ 成長試算'!C14="—","—",(A74*'⑤ 成長試算'!C16+B74*'⑤ 成長試算'!C13+C74*'⑤ 成長試算'!C10+D74*'⑤ 成長試算'!C7)/E74)</f>
        <v/>
      </c>
      <c r="J74" s="7">
        <f>IF('⑤ 成長試算'!G14="—","—",A74*'⑤ 成長試算'!G14+B74*'⑤ 成長試算'!G11+C74*'⑤ 成長試算'!G8+D74*'⑤ 成長試算'!G5)</f>
        <v/>
      </c>
      <c r="K74" s="7">
        <f>IF('⑤ 成長試算'!G14="—","—",A74*'⑤ 成長試算'!G15+B74*'⑤ 成長試算'!G12+C74*'⑤ 成長試算'!G9+D74*'⑤ 成長試算'!G6)</f>
        <v/>
      </c>
      <c r="L74" s="7">
        <f>IF('⑤ 成長試算'!G14="—","—",(A74*'⑤ 成長試算'!G16+B74*'⑤ 成長試算'!G13+C74*'⑤ 成長試算'!G10+D74*'⑤ 成長試算'!G7)/E74)</f>
        <v/>
      </c>
      <c r="M74" s="7">
        <f>IF('⑤ 成長試算'!L14="—","—",A74*'⑤ 成長試算'!L14+B74*'⑤ 成長試算'!L11+C74*'⑤ 成長試算'!L8+D74*'⑤ 成長試算'!L5)</f>
        <v/>
      </c>
      <c r="N74" s="7">
        <f>IF('⑤ 成長試算'!L14="—","—",A74*'⑤ 成長試算'!L15+B74*'⑤ 成長試算'!L12+C74*'⑤ 成長試算'!L9+D74*'⑤ 成長試算'!L6)</f>
        <v/>
      </c>
      <c r="O74" s="7">
        <f>IF('⑤ 成長試算'!L14="—","—",(A74*'⑤ 成長試算'!L16+B74*'⑤ 成長試算'!L13+C74*'⑤ 成長試算'!L10+D74*'⑤ 成長試算'!L7)/E74)</f>
        <v/>
      </c>
      <c r="P74" s="5" t="inlineStr"/>
    </row>
    <row r="75">
      <c r="A75" s="5" t="n">
        <v>1</v>
      </c>
      <c r="B75" s="5" t="n">
        <v>0</v>
      </c>
      <c r="C75" s="5" t="n">
        <v>1</v>
      </c>
      <c r="D75" s="5" t="n">
        <v>2</v>
      </c>
      <c r="E75" s="5" t="n">
        <v>4</v>
      </c>
      <c r="F75" s="10" t="n">
        <v>12</v>
      </c>
      <c r="G75" s="7">
        <f>IF('⑤ 成長試算'!C14="—","—",A75*'⑤ 成長試算'!C14+B75*'⑤ 成長試算'!C11+C75*'⑤ 成長試算'!C8+D75*'⑤ 成長試算'!C5)</f>
        <v/>
      </c>
      <c r="H75" s="7">
        <f>IF('⑤ 成長試算'!C14="—","—",A75*'⑤ 成長試算'!C15+B75*'⑤ 成長試算'!C12+C75*'⑤ 成長試算'!C9+D75*'⑤ 成長試算'!C6)</f>
        <v/>
      </c>
      <c r="I75" s="7">
        <f>IF('⑤ 成長試算'!C14="—","—",(A75*'⑤ 成長試算'!C16+B75*'⑤ 成長試算'!C13+C75*'⑤ 成長試算'!C10+D75*'⑤ 成長試算'!C7)/E75)</f>
        <v/>
      </c>
      <c r="J75" s="7">
        <f>IF('⑤ 成長試算'!G14="—","—",A75*'⑤ 成長試算'!G14+B75*'⑤ 成長試算'!G11+C75*'⑤ 成長試算'!G8+D75*'⑤ 成長試算'!G5)</f>
        <v/>
      </c>
      <c r="K75" s="7">
        <f>IF('⑤ 成長試算'!G14="—","—",A75*'⑤ 成長試算'!G15+B75*'⑤ 成長試算'!G12+C75*'⑤ 成長試算'!G9+D75*'⑤ 成長試算'!G6)</f>
        <v/>
      </c>
      <c r="L75" s="7">
        <f>IF('⑤ 成長試算'!G14="—","—",(A75*'⑤ 成長試算'!G16+B75*'⑤ 成長試算'!G13+C75*'⑤ 成長試算'!G10+D75*'⑤ 成長試算'!G7)/E75)</f>
        <v/>
      </c>
      <c r="M75" s="7">
        <f>IF('⑤ 成長試算'!L14="—","—",A75*'⑤ 成長試算'!L14+B75*'⑤ 成長試算'!L11+C75*'⑤ 成長試算'!L8+D75*'⑤ 成長試算'!L5)</f>
        <v/>
      </c>
      <c r="N75" s="7">
        <f>IF('⑤ 成長試算'!L14="—","—",A75*'⑤ 成長試算'!L15+B75*'⑤ 成長試算'!L12+C75*'⑤ 成長試算'!L9+D75*'⑤ 成長試算'!L6)</f>
        <v/>
      </c>
      <c r="O75" s="7">
        <f>IF('⑤ 成長試算'!L14="—","—",(A75*'⑤ 成長試算'!L16+B75*'⑤ 成長試算'!L13+C75*'⑤ 成長試算'!L10+D75*'⑤ 成長試算'!L7)/E75)</f>
        <v/>
      </c>
      <c r="P75" s="5" t="inlineStr"/>
    </row>
    <row r="76">
      <c r="A76" s="5" t="n">
        <v>0</v>
      </c>
      <c r="B76" s="5" t="n">
        <v>2</v>
      </c>
      <c r="C76" s="5" t="n">
        <v>0</v>
      </c>
      <c r="D76" s="5" t="n">
        <v>2</v>
      </c>
      <c r="E76" s="5" t="n">
        <v>4</v>
      </c>
      <c r="F76" s="10" t="n">
        <v>12</v>
      </c>
      <c r="G76" s="7">
        <f>IF('⑤ 成長試算'!C14="—","—",A76*'⑤ 成長試算'!C14+B76*'⑤ 成長試算'!C11+C76*'⑤ 成長試算'!C8+D76*'⑤ 成長試算'!C5)</f>
        <v/>
      </c>
      <c r="H76" s="7">
        <f>IF('⑤ 成長試算'!C14="—","—",A76*'⑤ 成長試算'!C15+B76*'⑤ 成長試算'!C12+C76*'⑤ 成長試算'!C9+D76*'⑤ 成長試算'!C6)</f>
        <v/>
      </c>
      <c r="I76" s="7">
        <f>IF('⑤ 成長試算'!C14="—","—",(A76*'⑤ 成長試算'!C16+B76*'⑤ 成長試算'!C13+C76*'⑤ 成長試算'!C10+D76*'⑤ 成長試算'!C7)/E76)</f>
        <v/>
      </c>
      <c r="J76" s="7">
        <f>IF('⑤ 成長試算'!G14="—","—",A76*'⑤ 成長試算'!G14+B76*'⑤ 成長試算'!G11+C76*'⑤ 成長試算'!G8+D76*'⑤ 成長試算'!G5)</f>
        <v/>
      </c>
      <c r="K76" s="7">
        <f>IF('⑤ 成長試算'!G14="—","—",A76*'⑤ 成長試算'!G15+B76*'⑤ 成長試算'!G12+C76*'⑤ 成長試算'!G9+D76*'⑤ 成長試算'!G6)</f>
        <v/>
      </c>
      <c r="L76" s="7">
        <f>IF('⑤ 成長試算'!G14="—","—",(A76*'⑤ 成長試算'!G16+B76*'⑤ 成長試算'!G13+C76*'⑤ 成長試算'!G10+D76*'⑤ 成長試算'!G7)/E76)</f>
        <v/>
      </c>
      <c r="M76" s="7">
        <f>IF('⑤ 成長試算'!L14="—","—",A76*'⑤ 成長試算'!L14+B76*'⑤ 成長試算'!L11+C76*'⑤ 成長試算'!L8+D76*'⑤ 成長試算'!L5)</f>
        <v/>
      </c>
      <c r="N76" s="7">
        <f>IF('⑤ 成長試算'!L14="—","—",A76*'⑤ 成長試算'!L15+B76*'⑤ 成長試算'!L12+C76*'⑤ 成長試算'!L9+D76*'⑤ 成長試算'!L6)</f>
        <v/>
      </c>
      <c r="O76" s="7">
        <f>IF('⑤ 成長試算'!L14="—","—",(A76*'⑤ 成長試算'!L16+B76*'⑤ 成長試算'!L13+C76*'⑤ 成長試算'!L10+D76*'⑤ 成長試算'!L7)/E76)</f>
        <v/>
      </c>
      <c r="P76" s="5" t="inlineStr"/>
    </row>
    <row r="77">
      <c r="A77" s="5" t="n">
        <v>0</v>
      </c>
      <c r="B77" s="5" t="n">
        <v>1</v>
      </c>
      <c r="C77" s="5" t="n">
        <v>2</v>
      </c>
      <c r="D77" s="5" t="n">
        <v>1</v>
      </c>
      <c r="E77" s="5" t="n">
        <v>4</v>
      </c>
      <c r="F77" s="10" t="n">
        <v>12</v>
      </c>
      <c r="G77" s="7">
        <f>IF('⑤ 成長試算'!C14="—","—",A77*'⑤ 成長試算'!C14+B77*'⑤ 成長試算'!C11+C77*'⑤ 成長試算'!C8+D77*'⑤ 成長試算'!C5)</f>
        <v/>
      </c>
      <c r="H77" s="7">
        <f>IF('⑤ 成長試算'!C14="—","—",A77*'⑤ 成長試算'!C15+B77*'⑤ 成長試算'!C12+C77*'⑤ 成長試算'!C9+D77*'⑤ 成長試算'!C6)</f>
        <v/>
      </c>
      <c r="I77" s="7">
        <f>IF('⑤ 成長試算'!C14="—","—",(A77*'⑤ 成長試算'!C16+B77*'⑤ 成長試算'!C13+C77*'⑤ 成長試算'!C10+D77*'⑤ 成長試算'!C7)/E77)</f>
        <v/>
      </c>
      <c r="J77" s="7">
        <f>IF('⑤ 成長試算'!G14="—","—",A77*'⑤ 成長試算'!G14+B77*'⑤ 成長試算'!G11+C77*'⑤ 成長試算'!G8+D77*'⑤ 成長試算'!G5)</f>
        <v/>
      </c>
      <c r="K77" s="7">
        <f>IF('⑤ 成長試算'!G14="—","—",A77*'⑤ 成長試算'!G15+B77*'⑤ 成長試算'!G12+C77*'⑤ 成長試算'!G9+D77*'⑤ 成長試算'!G6)</f>
        <v/>
      </c>
      <c r="L77" s="7">
        <f>IF('⑤ 成長試算'!G14="—","—",(A77*'⑤ 成長試算'!G16+B77*'⑤ 成長試算'!G13+C77*'⑤ 成長試算'!G10+D77*'⑤ 成長試算'!G7)/E77)</f>
        <v/>
      </c>
      <c r="M77" s="7">
        <f>IF('⑤ 成長試算'!L14="—","—",A77*'⑤ 成長試算'!L14+B77*'⑤ 成長試算'!L11+C77*'⑤ 成長試算'!L8+D77*'⑤ 成長試算'!L5)</f>
        <v/>
      </c>
      <c r="N77" s="7">
        <f>IF('⑤ 成長試算'!L14="—","—",A77*'⑤ 成長試算'!L15+B77*'⑤ 成長試算'!L12+C77*'⑤ 成長試算'!L9+D77*'⑤ 成長試算'!L6)</f>
        <v/>
      </c>
      <c r="O77" s="7">
        <f>IF('⑤ 成長試算'!L14="—","—",(A77*'⑤ 成長試算'!L16+B77*'⑤ 成長試算'!L13+C77*'⑤ 成長試算'!L10+D77*'⑤ 成長試算'!L7)/E77)</f>
        <v/>
      </c>
      <c r="P77" s="5" t="inlineStr"/>
    </row>
    <row r="78">
      <c r="A78" s="5" t="n">
        <v>0</v>
      </c>
      <c r="B78" s="5" t="n">
        <v>0</v>
      </c>
      <c r="C78" s="5" t="n">
        <v>4</v>
      </c>
      <c r="D78" s="5" t="n">
        <v>0</v>
      </c>
      <c r="E78" s="5" t="n">
        <v>4</v>
      </c>
      <c r="F78" s="10" t="n">
        <v>12</v>
      </c>
      <c r="G78" s="7">
        <f>IF('⑤ 成長試算'!C14="—","—",A78*'⑤ 成長試算'!C14+B78*'⑤ 成長試算'!C11+C78*'⑤ 成長試算'!C8+D78*'⑤ 成長試算'!C5)</f>
        <v/>
      </c>
      <c r="H78" s="7">
        <f>IF('⑤ 成長試算'!C14="—","—",A78*'⑤ 成長試算'!C15+B78*'⑤ 成長試算'!C12+C78*'⑤ 成長試算'!C9+D78*'⑤ 成長試算'!C6)</f>
        <v/>
      </c>
      <c r="I78" s="7">
        <f>IF('⑤ 成長試算'!C14="—","—",(A78*'⑤ 成長試算'!C16+B78*'⑤ 成長試算'!C13+C78*'⑤ 成長試算'!C10+D78*'⑤ 成長試算'!C7)/E78)</f>
        <v/>
      </c>
      <c r="J78" s="7">
        <f>IF('⑤ 成長試算'!G14="—","—",A78*'⑤ 成長試算'!G14+B78*'⑤ 成長試算'!G11+C78*'⑤ 成長試算'!G8+D78*'⑤ 成長試算'!G5)</f>
        <v/>
      </c>
      <c r="K78" s="7">
        <f>IF('⑤ 成長試算'!G14="—","—",A78*'⑤ 成長試算'!G15+B78*'⑤ 成長試算'!G12+C78*'⑤ 成長試算'!G9+D78*'⑤ 成長試算'!G6)</f>
        <v/>
      </c>
      <c r="L78" s="7">
        <f>IF('⑤ 成長試算'!G14="—","—",(A78*'⑤ 成長試算'!G16+B78*'⑤ 成長試算'!G13+C78*'⑤ 成長試算'!G10+D78*'⑤ 成長試算'!G7)/E78)</f>
        <v/>
      </c>
      <c r="M78" s="7">
        <f>IF('⑤ 成長試算'!L14="—","—",A78*'⑤ 成長試算'!L14+B78*'⑤ 成長試算'!L11+C78*'⑤ 成長試算'!L8+D78*'⑤ 成長試算'!L5)</f>
        <v/>
      </c>
      <c r="N78" s="7">
        <f>IF('⑤ 成長試算'!L14="—","—",A78*'⑤ 成長試算'!L15+B78*'⑤ 成長試算'!L12+C78*'⑤ 成長試算'!L9+D78*'⑤ 成長試算'!L6)</f>
        <v/>
      </c>
      <c r="O78" s="7">
        <f>IF('⑤ 成長試算'!L14="—","—",(A78*'⑤ 成長試算'!L16+B78*'⑤ 成長試算'!L13+C78*'⑤ 成長試算'!L10+D78*'⑤ 成長試算'!L7)/E78)</f>
        <v/>
      </c>
      <c r="P78" s="5" t="inlineStr"/>
    </row>
    <row r="79">
      <c r="A79" s="5" t="n">
        <v>1</v>
      </c>
      <c r="B79" s="5" t="n">
        <v>0</v>
      </c>
      <c r="C79" s="5" t="n">
        <v>0</v>
      </c>
      <c r="D79" s="5" t="n">
        <v>3</v>
      </c>
      <c r="E79" s="5" t="n">
        <v>4</v>
      </c>
      <c r="F79" s="10" t="n">
        <v>11</v>
      </c>
      <c r="G79" s="7">
        <f>IF('⑤ 成長試算'!C14="—","—",A79*'⑤ 成長試算'!C14+B79*'⑤ 成長試算'!C11+C79*'⑤ 成長試算'!C8+D79*'⑤ 成長試算'!C5)</f>
        <v/>
      </c>
      <c r="H79" s="7">
        <f>IF('⑤ 成長試算'!C14="—","—",A79*'⑤ 成長試算'!C15+B79*'⑤ 成長試算'!C12+C79*'⑤ 成長試算'!C9+D79*'⑤ 成長試算'!C6)</f>
        <v/>
      </c>
      <c r="I79" s="7">
        <f>IF('⑤ 成長試算'!C14="—","—",(A79*'⑤ 成長試算'!C16+B79*'⑤ 成長試算'!C13+C79*'⑤ 成長試算'!C10+D79*'⑤ 成長試算'!C7)/E79)</f>
        <v/>
      </c>
      <c r="J79" s="7">
        <f>IF('⑤ 成長試算'!G14="—","—",A79*'⑤ 成長試算'!G14+B79*'⑤ 成長試算'!G11+C79*'⑤ 成長試算'!G8+D79*'⑤ 成長試算'!G5)</f>
        <v/>
      </c>
      <c r="K79" s="7">
        <f>IF('⑤ 成長試算'!G14="—","—",A79*'⑤ 成長試算'!G15+B79*'⑤ 成長試算'!G12+C79*'⑤ 成長試算'!G9+D79*'⑤ 成長試算'!G6)</f>
        <v/>
      </c>
      <c r="L79" s="7">
        <f>IF('⑤ 成長試算'!G14="—","—",(A79*'⑤ 成長試算'!G16+B79*'⑤ 成長試算'!G13+C79*'⑤ 成長試算'!G10+D79*'⑤ 成長試算'!G7)/E79)</f>
        <v/>
      </c>
      <c r="M79" s="7">
        <f>IF('⑤ 成長試算'!L14="—","—",A79*'⑤ 成長試算'!L14+B79*'⑤ 成長試算'!L11+C79*'⑤ 成長試算'!L8+D79*'⑤ 成長試算'!L5)</f>
        <v/>
      </c>
      <c r="N79" s="7">
        <f>IF('⑤ 成長試算'!L14="—","—",A79*'⑤ 成長試算'!L15+B79*'⑤ 成長試算'!L12+C79*'⑤ 成長試算'!L9+D79*'⑤ 成長試算'!L6)</f>
        <v/>
      </c>
      <c r="O79" s="7">
        <f>IF('⑤ 成長試算'!L14="—","—",(A79*'⑤ 成長試算'!L16+B79*'⑤ 成長試算'!L13+C79*'⑤ 成長試算'!L10+D79*'⑤ 成長試算'!L7)/E79)</f>
        <v/>
      </c>
      <c r="P79" s="5" t="inlineStr"/>
    </row>
    <row r="80">
      <c r="A80" s="5" t="n">
        <v>0</v>
      </c>
      <c r="B80" s="5" t="n">
        <v>1</v>
      </c>
      <c r="C80" s="5" t="n">
        <v>1</v>
      </c>
      <c r="D80" s="5" t="n">
        <v>2</v>
      </c>
      <c r="E80" s="5" t="n">
        <v>4</v>
      </c>
      <c r="F80" s="10" t="n">
        <v>11</v>
      </c>
      <c r="G80" s="7">
        <f>IF('⑤ 成長試算'!C14="—","—",A80*'⑤ 成長試算'!C14+B80*'⑤ 成長試算'!C11+C80*'⑤ 成長試算'!C8+D80*'⑤ 成長試算'!C5)</f>
        <v/>
      </c>
      <c r="H80" s="7">
        <f>IF('⑤ 成長試算'!C14="—","—",A80*'⑤ 成長試算'!C15+B80*'⑤ 成長試算'!C12+C80*'⑤ 成長試算'!C9+D80*'⑤ 成長試算'!C6)</f>
        <v/>
      </c>
      <c r="I80" s="7">
        <f>IF('⑤ 成長試算'!C14="—","—",(A80*'⑤ 成長試算'!C16+B80*'⑤ 成長試算'!C13+C80*'⑤ 成長試算'!C10+D80*'⑤ 成長試算'!C7)/E80)</f>
        <v/>
      </c>
      <c r="J80" s="7">
        <f>IF('⑤ 成長試算'!G14="—","—",A80*'⑤ 成長試算'!G14+B80*'⑤ 成長試算'!G11+C80*'⑤ 成長試算'!G8+D80*'⑤ 成長試算'!G5)</f>
        <v/>
      </c>
      <c r="K80" s="7">
        <f>IF('⑤ 成長試算'!G14="—","—",A80*'⑤ 成長試算'!G15+B80*'⑤ 成長試算'!G12+C80*'⑤ 成長試算'!G9+D80*'⑤ 成長試算'!G6)</f>
        <v/>
      </c>
      <c r="L80" s="7">
        <f>IF('⑤ 成長試算'!G14="—","—",(A80*'⑤ 成長試算'!G16+B80*'⑤ 成長試算'!G13+C80*'⑤ 成長試算'!G10+D80*'⑤ 成長試算'!G7)/E80)</f>
        <v/>
      </c>
      <c r="M80" s="7">
        <f>IF('⑤ 成長試算'!L14="—","—",A80*'⑤ 成長試算'!L14+B80*'⑤ 成長試算'!L11+C80*'⑤ 成長試算'!L8+D80*'⑤ 成長試算'!L5)</f>
        <v/>
      </c>
      <c r="N80" s="7">
        <f>IF('⑤ 成長試算'!L14="—","—",A80*'⑤ 成長試算'!L15+B80*'⑤ 成長試算'!L12+C80*'⑤ 成長試算'!L9+D80*'⑤ 成長試算'!L6)</f>
        <v/>
      </c>
      <c r="O80" s="7">
        <f>IF('⑤ 成長試算'!L14="—","—",(A80*'⑤ 成長試算'!L16+B80*'⑤ 成長試算'!L13+C80*'⑤ 成長試算'!L10+D80*'⑤ 成長試算'!L7)/E80)</f>
        <v/>
      </c>
      <c r="P80" s="5" t="inlineStr"/>
    </row>
    <row r="81">
      <c r="A81" s="5" t="n">
        <v>0</v>
      </c>
      <c r="B81" s="5" t="n">
        <v>0</v>
      </c>
      <c r="C81" s="5" t="n">
        <v>3</v>
      </c>
      <c r="D81" s="5" t="n">
        <v>1</v>
      </c>
      <c r="E81" s="5" t="n">
        <v>4</v>
      </c>
      <c r="F81" s="10" t="n">
        <v>11</v>
      </c>
      <c r="G81" s="7">
        <f>IF('⑤ 成長試算'!C14="—","—",A81*'⑤ 成長試算'!C14+B81*'⑤ 成長試算'!C11+C81*'⑤ 成長試算'!C8+D81*'⑤ 成長試算'!C5)</f>
        <v/>
      </c>
      <c r="H81" s="7">
        <f>IF('⑤ 成長試算'!C14="—","—",A81*'⑤ 成長試算'!C15+B81*'⑤ 成長試算'!C12+C81*'⑤ 成長試算'!C9+D81*'⑤ 成長試算'!C6)</f>
        <v/>
      </c>
      <c r="I81" s="7">
        <f>IF('⑤ 成長試算'!C14="—","—",(A81*'⑤ 成長試算'!C16+B81*'⑤ 成長試算'!C13+C81*'⑤ 成長試算'!C10+D81*'⑤ 成長試算'!C7)/E81)</f>
        <v/>
      </c>
      <c r="J81" s="7">
        <f>IF('⑤ 成長試算'!G14="—","—",A81*'⑤ 成長試算'!G14+B81*'⑤ 成長試算'!G11+C81*'⑤ 成長試算'!G8+D81*'⑤ 成長試算'!G5)</f>
        <v/>
      </c>
      <c r="K81" s="7">
        <f>IF('⑤ 成長試算'!G14="—","—",A81*'⑤ 成長試算'!G15+B81*'⑤ 成長試算'!G12+C81*'⑤ 成長試算'!G9+D81*'⑤ 成長試算'!G6)</f>
        <v/>
      </c>
      <c r="L81" s="7">
        <f>IF('⑤ 成長試算'!G14="—","—",(A81*'⑤ 成長試算'!G16+B81*'⑤ 成長試算'!G13+C81*'⑤ 成長試算'!G10+D81*'⑤ 成長試算'!G7)/E81)</f>
        <v/>
      </c>
      <c r="M81" s="7">
        <f>IF('⑤ 成長試算'!L14="—","—",A81*'⑤ 成長試算'!L14+B81*'⑤ 成長試算'!L11+C81*'⑤ 成長試算'!L8+D81*'⑤ 成長試算'!L5)</f>
        <v/>
      </c>
      <c r="N81" s="7">
        <f>IF('⑤ 成長試算'!L14="—","—",A81*'⑤ 成長試算'!L15+B81*'⑤ 成長試算'!L12+C81*'⑤ 成長試算'!L9+D81*'⑤ 成長試算'!L6)</f>
        <v/>
      </c>
      <c r="O81" s="7">
        <f>IF('⑤ 成長試算'!L14="—","—",(A81*'⑤ 成長試算'!L16+B81*'⑤ 成長試算'!L13+C81*'⑤ 成長試算'!L10+D81*'⑤ 成長試算'!L7)/E81)</f>
        <v/>
      </c>
      <c r="P81" s="5" t="inlineStr"/>
    </row>
    <row r="82">
      <c r="A82" s="5" t="n">
        <v>0</v>
      </c>
      <c r="B82" s="5" t="n">
        <v>1</v>
      </c>
      <c r="C82" s="5" t="n">
        <v>0</v>
      </c>
      <c r="D82" s="5" t="n">
        <v>3</v>
      </c>
      <c r="E82" s="5" t="n">
        <v>4</v>
      </c>
      <c r="F82" s="10" t="n">
        <v>10</v>
      </c>
      <c r="G82" s="7">
        <f>IF('⑤ 成長試算'!C14="—","—",A82*'⑤ 成長試算'!C14+B82*'⑤ 成長試算'!C11+C82*'⑤ 成長試算'!C8+D82*'⑤ 成長試算'!C5)</f>
        <v/>
      </c>
      <c r="H82" s="7">
        <f>IF('⑤ 成長試算'!C14="—","—",A82*'⑤ 成長試算'!C15+B82*'⑤ 成長試算'!C12+C82*'⑤ 成長試算'!C9+D82*'⑤ 成長試算'!C6)</f>
        <v/>
      </c>
      <c r="I82" s="7">
        <f>IF('⑤ 成長試算'!C14="—","—",(A82*'⑤ 成長試算'!C16+B82*'⑤ 成長試算'!C13+C82*'⑤ 成長試算'!C10+D82*'⑤ 成長試算'!C7)/E82)</f>
        <v/>
      </c>
      <c r="J82" s="7">
        <f>IF('⑤ 成長試算'!G14="—","—",A82*'⑤ 成長試算'!G14+B82*'⑤ 成長試算'!G11+C82*'⑤ 成長試算'!G8+D82*'⑤ 成長試算'!G5)</f>
        <v/>
      </c>
      <c r="K82" s="7">
        <f>IF('⑤ 成長試算'!G14="—","—",A82*'⑤ 成長試算'!G15+B82*'⑤ 成長試算'!G12+C82*'⑤ 成長試算'!G9+D82*'⑤ 成長試算'!G6)</f>
        <v/>
      </c>
      <c r="L82" s="7">
        <f>IF('⑤ 成長試算'!G14="—","—",(A82*'⑤ 成長試算'!G16+B82*'⑤ 成長試算'!G13+C82*'⑤ 成長試算'!G10+D82*'⑤ 成長試算'!G7)/E82)</f>
        <v/>
      </c>
      <c r="M82" s="7">
        <f>IF('⑤ 成長試算'!L14="—","—",A82*'⑤ 成長試算'!L14+B82*'⑤ 成長試算'!L11+C82*'⑤ 成長試算'!L8+D82*'⑤ 成長試算'!L5)</f>
        <v/>
      </c>
      <c r="N82" s="7">
        <f>IF('⑤ 成長試算'!L14="—","—",A82*'⑤ 成長試算'!L15+B82*'⑤ 成長試算'!L12+C82*'⑤ 成長試算'!L9+D82*'⑤ 成長試算'!L6)</f>
        <v/>
      </c>
      <c r="O82" s="7">
        <f>IF('⑤ 成長試算'!L14="—","—",(A82*'⑤ 成長試算'!L16+B82*'⑤ 成長試算'!L13+C82*'⑤ 成長試算'!L10+D82*'⑤ 成長試算'!L7)/E82)</f>
        <v/>
      </c>
      <c r="P82" s="5" t="inlineStr"/>
    </row>
    <row r="83">
      <c r="A83" s="5" t="n">
        <v>0</v>
      </c>
      <c r="B83" s="5" t="n">
        <v>0</v>
      </c>
      <c r="C83" s="5" t="n">
        <v>2</v>
      </c>
      <c r="D83" s="5" t="n">
        <v>2</v>
      </c>
      <c r="E83" s="5" t="n">
        <v>4</v>
      </c>
      <c r="F83" s="10" t="n">
        <v>10</v>
      </c>
      <c r="G83" s="7">
        <f>IF('⑤ 成長試算'!C14="—","—",A83*'⑤ 成長試算'!C14+B83*'⑤ 成長試算'!C11+C83*'⑤ 成長試算'!C8+D83*'⑤ 成長試算'!C5)</f>
        <v/>
      </c>
      <c r="H83" s="7">
        <f>IF('⑤ 成長試算'!C14="—","—",A83*'⑤ 成長試算'!C15+B83*'⑤ 成長試算'!C12+C83*'⑤ 成長試算'!C9+D83*'⑤ 成長試算'!C6)</f>
        <v/>
      </c>
      <c r="I83" s="7">
        <f>IF('⑤ 成長試算'!C14="—","—",(A83*'⑤ 成長試算'!C16+B83*'⑤ 成長試算'!C13+C83*'⑤ 成長試算'!C10+D83*'⑤ 成長試算'!C7)/E83)</f>
        <v/>
      </c>
      <c r="J83" s="7">
        <f>IF('⑤ 成長試算'!G14="—","—",A83*'⑤ 成長試算'!G14+B83*'⑤ 成長試算'!G11+C83*'⑤ 成長試算'!G8+D83*'⑤ 成長試算'!G5)</f>
        <v/>
      </c>
      <c r="K83" s="7">
        <f>IF('⑤ 成長試算'!G14="—","—",A83*'⑤ 成長試算'!G15+B83*'⑤ 成長試算'!G12+C83*'⑤ 成長試算'!G9+D83*'⑤ 成長試算'!G6)</f>
        <v/>
      </c>
      <c r="L83" s="7">
        <f>IF('⑤ 成長試算'!G14="—","—",(A83*'⑤ 成長試算'!G16+B83*'⑤ 成長試算'!G13+C83*'⑤ 成長試算'!G10+D83*'⑤ 成長試算'!G7)/E83)</f>
        <v/>
      </c>
      <c r="M83" s="7">
        <f>IF('⑤ 成長試算'!L14="—","—",A83*'⑤ 成長試算'!L14+B83*'⑤ 成長試算'!L11+C83*'⑤ 成長試算'!L8+D83*'⑤ 成長試算'!L5)</f>
        <v/>
      </c>
      <c r="N83" s="7">
        <f>IF('⑤ 成長試算'!L14="—","—",A83*'⑤ 成長試算'!L15+B83*'⑤ 成長試算'!L12+C83*'⑤ 成長試算'!L9+D83*'⑤ 成長試算'!L6)</f>
        <v/>
      </c>
      <c r="O83" s="7">
        <f>IF('⑤ 成長試算'!L14="—","—",(A83*'⑤ 成長試算'!L16+B83*'⑤ 成長試算'!L13+C83*'⑤ 成長試算'!L10+D83*'⑤ 成長試算'!L7)/E83)</f>
        <v/>
      </c>
      <c r="P83" s="5" t="inlineStr"/>
    </row>
    <row r="84">
      <c r="A84" s="5" t="n">
        <v>0</v>
      </c>
      <c r="B84" s="5" t="n">
        <v>0</v>
      </c>
      <c r="C84" s="5" t="n">
        <v>1</v>
      </c>
      <c r="D84" s="5" t="n">
        <v>3</v>
      </c>
      <c r="E84" s="5" t="n">
        <v>4</v>
      </c>
      <c r="F84" s="10" t="n">
        <v>9</v>
      </c>
      <c r="G84" s="7">
        <f>IF('⑤ 成長試算'!C14="—","—",A84*'⑤ 成長試算'!C14+B84*'⑤ 成長試算'!C11+C84*'⑤ 成長試算'!C8+D84*'⑤ 成長試算'!C5)</f>
        <v/>
      </c>
      <c r="H84" s="7">
        <f>IF('⑤ 成長試算'!C14="—","—",A84*'⑤ 成長試算'!C15+B84*'⑤ 成長試算'!C12+C84*'⑤ 成長試算'!C9+D84*'⑤ 成長試算'!C6)</f>
        <v/>
      </c>
      <c r="I84" s="7">
        <f>IF('⑤ 成長試算'!C14="—","—",(A84*'⑤ 成長試算'!C16+B84*'⑤ 成長試算'!C13+C84*'⑤ 成長試算'!C10+D84*'⑤ 成長試算'!C7)/E84)</f>
        <v/>
      </c>
      <c r="J84" s="7">
        <f>IF('⑤ 成長試算'!G14="—","—",A84*'⑤ 成長試算'!G14+B84*'⑤ 成長試算'!G11+C84*'⑤ 成長試算'!G8+D84*'⑤ 成長試算'!G5)</f>
        <v/>
      </c>
      <c r="K84" s="7">
        <f>IF('⑤ 成長試算'!G14="—","—",A84*'⑤ 成長試算'!G15+B84*'⑤ 成長試算'!G12+C84*'⑤ 成長試算'!G9+D84*'⑤ 成長試算'!G6)</f>
        <v/>
      </c>
      <c r="L84" s="7">
        <f>IF('⑤ 成長試算'!G14="—","—",(A84*'⑤ 成長試算'!G16+B84*'⑤ 成長試算'!G13+C84*'⑤ 成長試算'!G10+D84*'⑤ 成長試算'!G7)/E84)</f>
        <v/>
      </c>
      <c r="M84" s="7">
        <f>IF('⑤ 成長試算'!L14="—","—",A84*'⑤ 成長試算'!L14+B84*'⑤ 成長試算'!L11+C84*'⑤ 成長試算'!L8+D84*'⑤ 成長試算'!L5)</f>
        <v/>
      </c>
      <c r="N84" s="7">
        <f>IF('⑤ 成長試算'!L14="—","—",A84*'⑤ 成長試算'!L15+B84*'⑤ 成長試算'!L12+C84*'⑤ 成長試算'!L9+D84*'⑤ 成長試算'!L6)</f>
        <v/>
      </c>
      <c r="O84" s="7">
        <f>IF('⑤ 成長試算'!L14="—","—",(A84*'⑤ 成長試算'!L16+B84*'⑤ 成長試算'!L13+C84*'⑤ 成長試算'!L10+D84*'⑤ 成長試算'!L7)/E84)</f>
        <v/>
      </c>
      <c r="P84" s="5" t="inlineStr"/>
    </row>
    <row r="85">
      <c r="A85" s="5" t="n">
        <v>0</v>
      </c>
      <c r="B85" s="5" t="n">
        <v>0</v>
      </c>
      <c r="C85" s="5" t="n">
        <v>0</v>
      </c>
      <c r="D85" s="5" t="n">
        <v>4</v>
      </c>
      <c r="E85" s="5" t="n">
        <v>4</v>
      </c>
      <c r="F85" s="10" t="n">
        <v>8</v>
      </c>
      <c r="G85" s="7">
        <f>IF('⑤ 成長試算'!C14="—","—",A85*'⑤ 成長試算'!C14+B85*'⑤ 成長試算'!C11+C85*'⑤ 成長試算'!C8+D85*'⑤ 成長試算'!C5)</f>
        <v/>
      </c>
      <c r="H85" s="7">
        <f>IF('⑤ 成長試算'!C14="—","—",A85*'⑤ 成長試算'!C15+B85*'⑤ 成長試算'!C12+C85*'⑤ 成長試算'!C9+D85*'⑤ 成長試算'!C6)</f>
        <v/>
      </c>
      <c r="I85" s="7">
        <f>IF('⑤ 成長試算'!C14="—","—",(A85*'⑤ 成長試算'!C16+B85*'⑤ 成長試算'!C13+C85*'⑤ 成長試算'!C10+D85*'⑤ 成長試算'!C7)/E85)</f>
        <v/>
      </c>
      <c r="J85" s="7">
        <f>IF('⑤ 成長試算'!G14="—","—",A85*'⑤ 成長試算'!G14+B85*'⑤ 成長試算'!G11+C85*'⑤ 成長試算'!G8+D85*'⑤ 成長試算'!G5)</f>
        <v/>
      </c>
      <c r="K85" s="7">
        <f>IF('⑤ 成長試算'!G14="—","—",A85*'⑤ 成長試算'!G15+B85*'⑤ 成長試算'!G12+C85*'⑤ 成長試算'!G9+D85*'⑤ 成長試算'!G6)</f>
        <v/>
      </c>
      <c r="L85" s="7">
        <f>IF('⑤ 成長試算'!G14="—","—",(A85*'⑤ 成長試算'!G16+B85*'⑤ 成長試算'!G13+C85*'⑤ 成長試算'!G10+D85*'⑤ 成長試算'!G7)/E85)</f>
        <v/>
      </c>
      <c r="M85" s="7">
        <f>IF('⑤ 成長試算'!L14="—","—",A85*'⑤ 成長試算'!L14+B85*'⑤ 成長試算'!L11+C85*'⑤ 成長試算'!L8+D85*'⑤ 成長試算'!L5)</f>
        <v/>
      </c>
      <c r="N85" s="7">
        <f>IF('⑤ 成長試算'!L14="—","—",A85*'⑤ 成長試算'!L15+B85*'⑤ 成長試算'!L12+C85*'⑤ 成長試算'!L9+D85*'⑤ 成長試算'!L6)</f>
        <v/>
      </c>
      <c r="O85" s="7">
        <f>IF('⑤ 成長試算'!L14="—","—",(A85*'⑤ 成長試算'!L16+B85*'⑤ 成長試算'!L13+C85*'⑤ 成長試算'!L10+D85*'⑤ 成長試算'!L7)/E85)</f>
        <v/>
      </c>
      <c r="P85" s="5" t="inlineStr">
        <is>
          <t>C単一（最安）</t>
        </is>
      </c>
    </row>
    <row r="86">
      <c r="A86" s="5" t="n">
        <v>3</v>
      </c>
      <c r="B86" s="5" t="n">
        <v>0</v>
      </c>
      <c r="C86" s="5" t="n">
        <v>0</v>
      </c>
      <c r="D86" s="5" t="n">
        <v>0</v>
      </c>
      <c r="E86" s="5" t="n">
        <v>3</v>
      </c>
      <c r="F86" s="10" t="n">
        <v>15</v>
      </c>
      <c r="G86" s="7">
        <f>IF('⑤ 成長試算'!C14="—","—",A86*'⑤ 成長試算'!C14+B86*'⑤ 成長試算'!C11+C86*'⑤ 成長試算'!C8+D86*'⑤ 成長試算'!C5)</f>
        <v/>
      </c>
      <c r="H86" s="7">
        <f>IF('⑤ 成長試算'!C14="—","—",A86*'⑤ 成長試算'!C15+B86*'⑤ 成長試算'!C12+C86*'⑤ 成長試算'!C9+D86*'⑤ 成長試算'!C6)</f>
        <v/>
      </c>
      <c r="I86" s="7">
        <f>IF('⑤ 成長試算'!C14="—","—",(A86*'⑤ 成長試算'!C16+B86*'⑤ 成長試算'!C13+C86*'⑤ 成長試算'!C10+D86*'⑤ 成長試算'!C7)/E86)</f>
        <v/>
      </c>
      <c r="J86" s="7">
        <f>IF('⑤ 成長試算'!G14="—","—",A86*'⑤ 成長試算'!G14+B86*'⑤ 成長試算'!G11+C86*'⑤ 成長試算'!G8+D86*'⑤ 成長試算'!G5)</f>
        <v/>
      </c>
      <c r="K86" s="7">
        <f>IF('⑤ 成長試算'!G14="—","—",A86*'⑤ 成長試算'!G15+B86*'⑤ 成長試算'!G12+C86*'⑤ 成長試算'!G9+D86*'⑤ 成長試算'!G6)</f>
        <v/>
      </c>
      <c r="L86" s="7">
        <f>IF('⑤ 成長試算'!G14="—","—",(A86*'⑤ 成長試算'!G16+B86*'⑤ 成長試算'!G13+C86*'⑤ 成長試算'!G10+D86*'⑤ 成長試算'!G7)/E86)</f>
        <v/>
      </c>
      <c r="M86" s="7">
        <f>IF('⑤ 成長試算'!L14="—","—",A86*'⑤ 成長試算'!L14+B86*'⑤ 成長試算'!L11+C86*'⑤ 成長試算'!L8+D86*'⑤ 成長試算'!L5)</f>
        <v/>
      </c>
      <c r="N86" s="7">
        <f>IF('⑤ 成長試算'!L14="—","—",A86*'⑤ 成長試算'!L15+B86*'⑤ 成長試算'!L12+C86*'⑤ 成長試算'!L9+D86*'⑤ 成長試算'!L6)</f>
        <v/>
      </c>
      <c r="O86" s="7">
        <f>IF('⑤ 成長試算'!L14="—","—",(A86*'⑤ 成長試算'!L16+B86*'⑤ 成長試算'!L13+C86*'⑤ 成長試算'!L10+D86*'⑤ 成長試算'!L7)/E86)</f>
        <v/>
      </c>
      <c r="P86" s="5" t="inlineStr">
        <is>
          <t>S単一</t>
        </is>
      </c>
    </row>
    <row r="87">
      <c r="A87" s="5" t="n">
        <v>2</v>
      </c>
      <c r="B87" s="5" t="n">
        <v>1</v>
      </c>
      <c r="C87" s="5" t="n">
        <v>0</v>
      </c>
      <c r="D87" s="5" t="n">
        <v>0</v>
      </c>
      <c r="E87" s="5" t="n">
        <v>3</v>
      </c>
      <c r="F87" s="10" t="n">
        <v>14</v>
      </c>
      <c r="G87" s="7">
        <f>IF('⑤ 成長試算'!C14="—","—",A87*'⑤ 成長試算'!C14+B87*'⑤ 成長試算'!C11+C87*'⑤ 成長試算'!C8+D87*'⑤ 成長試算'!C5)</f>
        <v/>
      </c>
      <c r="H87" s="7">
        <f>IF('⑤ 成長試算'!C14="—","—",A87*'⑤ 成長試算'!C15+B87*'⑤ 成長試算'!C12+C87*'⑤ 成長試算'!C9+D87*'⑤ 成長試算'!C6)</f>
        <v/>
      </c>
      <c r="I87" s="7">
        <f>IF('⑤ 成長試算'!C14="—","—",(A87*'⑤ 成長試算'!C16+B87*'⑤ 成長試算'!C13+C87*'⑤ 成長試算'!C10+D87*'⑤ 成長試算'!C7)/E87)</f>
        <v/>
      </c>
      <c r="J87" s="7">
        <f>IF('⑤ 成長試算'!G14="—","—",A87*'⑤ 成長試算'!G14+B87*'⑤ 成長試算'!G11+C87*'⑤ 成長試算'!G8+D87*'⑤ 成長試算'!G5)</f>
        <v/>
      </c>
      <c r="K87" s="7">
        <f>IF('⑤ 成長試算'!G14="—","—",A87*'⑤ 成長試算'!G15+B87*'⑤ 成長試算'!G12+C87*'⑤ 成長試算'!G9+D87*'⑤ 成長試算'!G6)</f>
        <v/>
      </c>
      <c r="L87" s="7">
        <f>IF('⑤ 成長試算'!G14="—","—",(A87*'⑤ 成長試算'!G16+B87*'⑤ 成長試算'!G13+C87*'⑤ 成長試算'!G10+D87*'⑤ 成長試算'!G7)/E87)</f>
        <v/>
      </c>
      <c r="M87" s="7">
        <f>IF('⑤ 成長試算'!L14="—","—",A87*'⑤ 成長試算'!L14+B87*'⑤ 成長試算'!L11+C87*'⑤ 成長試算'!L8+D87*'⑤ 成長試算'!L5)</f>
        <v/>
      </c>
      <c r="N87" s="7">
        <f>IF('⑤ 成長試算'!L14="—","—",A87*'⑤ 成長試算'!L15+B87*'⑤ 成長試算'!L12+C87*'⑤ 成長試算'!L9+D87*'⑤ 成長試算'!L6)</f>
        <v/>
      </c>
      <c r="O87" s="7">
        <f>IF('⑤ 成長試算'!L14="—","—",(A87*'⑤ 成長試算'!L16+B87*'⑤ 成長試算'!L13+C87*'⑤ 成長試算'!L10+D87*'⑤ 成長試算'!L7)/E87)</f>
        <v/>
      </c>
      <c r="P87" s="5" t="inlineStr"/>
    </row>
    <row r="88">
      <c r="A88" s="5" t="n">
        <v>2</v>
      </c>
      <c r="B88" s="5" t="n">
        <v>0</v>
      </c>
      <c r="C88" s="5" t="n">
        <v>1</v>
      </c>
      <c r="D88" s="5" t="n">
        <v>0</v>
      </c>
      <c r="E88" s="5" t="n">
        <v>3</v>
      </c>
      <c r="F88" s="10" t="n">
        <v>13</v>
      </c>
      <c r="G88" s="7">
        <f>IF('⑤ 成長試算'!C14="—","—",A88*'⑤ 成長試算'!C14+B88*'⑤ 成長試算'!C11+C88*'⑤ 成長試算'!C8+D88*'⑤ 成長試算'!C5)</f>
        <v/>
      </c>
      <c r="H88" s="7">
        <f>IF('⑤ 成長試算'!C14="—","—",A88*'⑤ 成長試算'!C15+B88*'⑤ 成長試算'!C12+C88*'⑤ 成長試算'!C9+D88*'⑤ 成長試算'!C6)</f>
        <v/>
      </c>
      <c r="I88" s="7">
        <f>IF('⑤ 成長試算'!C14="—","—",(A88*'⑤ 成長試算'!C16+B88*'⑤ 成長試算'!C13+C88*'⑤ 成長試算'!C10+D88*'⑤ 成長試算'!C7)/E88)</f>
        <v/>
      </c>
      <c r="J88" s="7">
        <f>IF('⑤ 成長試算'!G14="—","—",A88*'⑤ 成長試算'!G14+B88*'⑤ 成長試算'!G11+C88*'⑤ 成長試算'!G8+D88*'⑤ 成長試算'!G5)</f>
        <v/>
      </c>
      <c r="K88" s="7">
        <f>IF('⑤ 成長試算'!G14="—","—",A88*'⑤ 成長試算'!G15+B88*'⑤ 成長試算'!G12+C88*'⑤ 成長試算'!G9+D88*'⑤ 成長試算'!G6)</f>
        <v/>
      </c>
      <c r="L88" s="7">
        <f>IF('⑤ 成長試算'!G14="—","—",(A88*'⑤ 成長試算'!G16+B88*'⑤ 成長試算'!G13+C88*'⑤ 成長試算'!G10+D88*'⑤ 成長試算'!G7)/E88)</f>
        <v/>
      </c>
      <c r="M88" s="7">
        <f>IF('⑤ 成長試算'!L14="—","—",A88*'⑤ 成長試算'!L14+B88*'⑤ 成長試算'!L11+C88*'⑤ 成長試算'!L8+D88*'⑤ 成長試算'!L5)</f>
        <v/>
      </c>
      <c r="N88" s="7">
        <f>IF('⑤ 成長試算'!L14="—","—",A88*'⑤ 成長試算'!L15+B88*'⑤ 成長試算'!L12+C88*'⑤ 成長試算'!L9+D88*'⑤ 成長試算'!L6)</f>
        <v/>
      </c>
      <c r="O88" s="7">
        <f>IF('⑤ 成長試算'!L14="—","—",(A88*'⑤ 成長試算'!L16+B88*'⑤ 成長試算'!L13+C88*'⑤ 成長試算'!L10+D88*'⑤ 成長試算'!L7)/E88)</f>
        <v/>
      </c>
      <c r="P88" s="5" t="inlineStr"/>
    </row>
    <row r="89">
      <c r="A89" s="5" t="n">
        <v>1</v>
      </c>
      <c r="B89" s="5" t="n">
        <v>2</v>
      </c>
      <c r="C89" s="5" t="n">
        <v>0</v>
      </c>
      <c r="D89" s="5" t="n">
        <v>0</v>
      </c>
      <c r="E89" s="5" t="n">
        <v>3</v>
      </c>
      <c r="F89" s="10" t="n">
        <v>13</v>
      </c>
      <c r="G89" s="7">
        <f>IF('⑤ 成長試算'!C14="—","—",A89*'⑤ 成長試算'!C14+B89*'⑤ 成長試算'!C11+C89*'⑤ 成長試算'!C8+D89*'⑤ 成長試算'!C5)</f>
        <v/>
      </c>
      <c r="H89" s="7">
        <f>IF('⑤ 成長試算'!C14="—","—",A89*'⑤ 成長試算'!C15+B89*'⑤ 成長試算'!C12+C89*'⑤ 成長試算'!C9+D89*'⑤ 成長試算'!C6)</f>
        <v/>
      </c>
      <c r="I89" s="7">
        <f>IF('⑤ 成長試算'!C14="—","—",(A89*'⑤ 成長試算'!C16+B89*'⑤ 成長試算'!C13+C89*'⑤ 成長試算'!C10+D89*'⑤ 成長試算'!C7)/E89)</f>
        <v/>
      </c>
      <c r="J89" s="7">
        <f>IF('⑤ 成長試算'!G14="—","—",A89*'⑤ 成長試算'!G14+B89*'⑤ 成長試算'!G11+C89*'⑤ 成長試算'!G8+D89*'⑤ 成長試算'!G5)</f>
        <v/>
      </c>
      <c r="K89" s="7">
        <f>IF('⑤ 成長試算'!G14="—","—",A89*'⑤ 成長試算'!G15+B89*'⑤ 成長試算'!G12+C89*'⑤ 成長試算'!G9+D89*'⑤ 成長試算'!G6)</f>
        <v/>
      </c>
      <c r="L89" s="7">
        <f>IF('⑤ 成長試算'!G14="—","—",(A89*'⑤ 成長試算'!G16+B89*'⑤ 成長試算'!G13+C89*'⑤ 成長試算'!G10+D89*'⑤ 成長試算'!G7)/E89)</f>
        <v/>
      </c>
      <c r="M89" s="7">
        <f>IF('⑤ 成長試算'!L14="—","—",A89*'⑤ 成長試算'!L14+B89*'⑤ 成長試算'!L11+C89*'⑤ 成長試算'!L8+D89*'⑤ 成長試算'!L5)</f>
        <v/>
      </c>
      <c r="N89" s="7">
        <f>IF('⑤ 成長試算'!L14="—","—",A89*'⑤ 成長試算'!L15+B89*'⑤ 成長試算'!L12+C89*'⑤ 成長試算'!L9+D89*'⑤ 成長試算'!L6)</f>
        <v/>
      </c>
      <c r="O89" s="7">
        <f>IF('⑤ 成長試算'!L14="—","—",(A89*'⑤ 成長試算'!L16+B89*'⑤ 成長試算'!L13+C89*'⑤ 成長試算'!L10+D89*'⑤ 成長試算'!L7)/E89)</f>
        <v/>
      </c>
      <c r="P89" s="5" t="inlineStr"/>
    </row>
    <row r="90">
      <c r="A90" s="5" t="n">
        <v>2</v>
      </c>
      <c r="B90" s="5" t="n">
        <v>0</v>
      </c>
      <c r="C90" s="5" t="n">
        <v>0</v>
      </c>
      <c r="D90" s="5" t="n">
        <v>1</v>
      </c>
      <c r="E90" s="5" t="n">
        <v>3</v>
      </c>
      <c r="F90" s="10" t="n">
        <v>12</v>
      </c>
      <c r="G90" s="7">
        <f>IF('⑤ 成長試算'!C14="—","—",A90*'⑤ 成長試算'!C14+B90*'⑤ 成長試算'!C11+C90*'⑤ 成長試算'!C8+D90*'⑤ 成長試算'!C5)</f>
        <v/>
      </c>
      <c r="H90" s="7">
        <f>IF('⑤ 成長試算'!C14="—","—",A90*'⑤ 成長試算'!C15+B90*'⑤ 成長試算'!C12+C90*'⑤ 成長試算'!C9+D90*'⑤ 成長試算'!C6)</f>
        <v/>
      </c>
      <c r="I90" s="7">
        <f>IF('⑤ 成長試算'!C14="—","—",(A90*'⑤ 成長試算'!C16+B90*'⑤ 成長試算'!C13+C90*'⑤ 成長試算'!C10+D90*'⑤ 成長試算'!C7)/E90)</f>
        <v/>
      </c>
      <c r="J90" s="7">
        <f>IF('⑤ 成長試算'!G14="—","—",A90*'⑤ 成長試算'!G14+B90*'⑤ 成長試算'!G11+C90*'⑤ 成長試算'!G8+D90*'⑤ 成長試算'!G5)</f>
        <v/>
      </c>
      <c r="K90" s="7">
        <f>IF('⑤ 成長試算'!G14="—","—",A90*'⑤ 成長試算'!G15+B90*'⑤ 成長試算'!G12+C90*'⑤ 成長試算'!G9+D90*'⑤ 成長試算'!G6)</f>
        <v/>
      </c>
      <c r="L90" s="7">
        <f>IF('⑤ 成長試算'!G14="—","—",(A90*'⑤ 成長試算'!G16+B90*'⑤ 成長試算'!G13+C90*'⑤ 成長試算'!G10+D90*'⑤ 成長試算'!G7)/E90)</f>
        <v/>
      </c>
      <c r="M90" s="7">
        <f>IF('⑤ 成長試算'!L14="—","—",A90*'⑤ 成長試算'!L14+B90*'⑤ 成長試算'!L11+C90*'⑤ 成長試算'!L8+D90*'⑤ 成長試算'!L5)</f>
        <v/>
      </c>
      <c r="N90" s="7">
        <f>IF('⑤ 成長試算'!L14="—","—",A90*'⑤ 成長試算'!L15+B90*'⑤ 成長試算'!L12+C90*'⑤ 成長試算'!L9+D90*'⑤ 成長試算'!L6)</f>
        <v/>
      </c>
      <c r="O90" s="7">
        <f>IF('⑤ 成長試算'!L14="—","—",(A90*'⑤ 成長試算'!L16+B90*'⑤ 成長試算'!L13+C90*'⑤ 成長試算'!L10+D90*'⑤ 成長試算'!L7)/E90)</f>
        <v/>
      </c>
      <c r="P90" s="5" t="inlineStr"/>
    </row>
    <row r="91">
      <c r="A91" s="5" t="n">
        <v>1</v>
      </c>
      <c r="B91" s="5" t="n">
        <v>1</v>
      </c>
      <c r="C91" s="5" t="n">
        <v>1</v>
      </c>
      <c r="D91" s="5" t="n">
        <v>0</v>
      </c>
      <c r="E91" s="5" t="n">
        <v>3</v>
      </c>
      <c r="F91" s="10" t="n">
        <v>12</v>
      </c>
      <c r="G91" s="7">
        <f>IF('⑤ 成長試算'!C14="—","—",A91*'⑤ 成長試算'!C14+B91*'⑤ 成長試算'!C11+C91*'⑤ 成長試算'!C8+D91*'⑤ 成長試算'!C5)</f>
        <v/>
      </c>
      <c r="H91" s="7">
        <f>IF('⑤ 成長試算'!C14="—","—",A91*'⑤ 成長試算'!C15+B91*'⑤ 成長試算'!C12+C91*'⑤ 成長試算'!C9+D91*'⑤ 成長試算'!C6)</f>
        <v/>
      </c>
      <c r="I91" s="7">
        <f>IF('⑤ 成長試算'!C14="—","—",(A91*'⑤ 成長試算'!C16+B91*'⑤ 成長試算'!C13+C91*'⑤ 成長試算'!C10+D91*'⑤ 成長試算'!C7)/E91)</f>
        <v/>
      </c>
      <c r="J91" s="7">
        <f>IF('⑤ 成長試算'!G14="—","—",A91*'⑤ 成長試算'!G14+B91*'⑤ 成長試算'!G11+C91*'⑤ 成長試算'!G8+D91*'⑤ 成長試算'!G5)</f>
        <v/>
      </c>
      <c r="K91" s="7">
        <f>IF('⑤ 成長試算'!G14="—","—",A91*'⑤ 成長試算'!G15+B91*'⑤ 成長試算'!G12+C91*'⑤ 成長試算'!G9+D91*'⑤ 成長試算'!G6)</f>
        <v/>
      </c>
      <c r="L91" s="7">
        <f>IF('⑤ 成長試算'!G14="—","—",(A91*'⑤ 成長試算'!G16+B91*'⑤ 成長試算'!G13+C91*'⑤ 成長試算'!G10+D91*'⑤ 成長試算'!G7)/E91)</f>
        <v/>
      </c>
      <c r="M91" s="7">
        <f>IF('⑤ 成長試算'!L14="—","—",A91*'⑤ 成長試算'!L14+B91*'⑤ 成長試算'!L11+C91*'⑤ 成長試算'!L8+D91*'⑤ 成長試算'!L5)</f>
        <v/>
      </c>
      <c r="N91" s="7">
        <f>IF('⑤ 成長試算'!L14="—","—",A91*'⑤ 成長試算'!L15+B91*'⑤ 成長試算'!L12+C91*'⑤ 成長試算'!L9+D91*'⑤ 成長試算'!L6)</f>
        <v/>
      </c>
      <c r="O91" s="7">
        <f>IF('⑤ 成長試算'!L14="—","—",(A91*'⑤ 成長試算'!L16+B91*'⑤ 成長試算'!L13+C91*'⑤ 成長試算'!L10+D91*'⑤ 成長試算'!L7)/E91)</f>
        <v/>
      </c>
      <c r="P91" s="5" t="inlineStr"/>
    </row>
    <row r="92">
      <c r="A92" s="5" t="n">
        <v>0</v>
      </c>
      <c r="B92" s="5" t="n">
        <v>3</v>
      </c>
      <c r="C92" s="5" t="n">
        <v>0</v>
      </c>
      <c r="D92" s="5" t="n">
        <v>0</v>
      </c>
      <c r="E92" s="5" t="n">
        <v>3</v>
      </c>
      <c r="F92" s="10" t="n">
        <v>12</v>
      </c>
      <c r="G92" s="7">
        <f>IF('⑤ 成長試算'!C14="—","—",A92*'⑤ 成長試算'!C14+B92*'⑤ 成長試算'!C11+C92*'⑤ 成長試算'!C8+D92*'⑤ 成長試算'!C5)</f>
        <v/>
      </c>
      <c r="H92" s="7">
        <f>IF('⑤ 成長試算'!C14="—","—",A92*'⑤ 成長試算'!C15+B92*'⑤ 成長試算'!C12+C92*'⑤ 成長試算'!C9+D92*'⑤ 成長試算'!C6)</f>
        <v/>
      </c>
      <c r="I92" s="7">
        <f>IF('⑤ 成長試算'!C14="—","—",(A92*'⑤ 成長試算'!C16+B92*'⑤ 成長試算'!C13+C92*'⑤ 成長試算'!C10+D92*'⑤ 成長試算'!C7)/E92)</f>
        <v/>
      </c>
      <c r="J92" s="7">
        <f>IF('⑤ 成長試算'!G14="—","—",A92*'⑤ 成長試算'!G14+B92*'⑤ 成長試算'!G11+C92*'⑤ 成長試算'!G8+D92*'⑤ 成長試算'!G5)</f>
        <v/>
      </c>
      <c r="K92" s="7">
        <f>IF('⑤ 成長試算'!G14="—","—",A92*'⑤ 成長試算'!G15+B92*'⑤ 成長試算'!G12+C92*'⑤ 成長試算'!G9+D92*'⑤ 成長試算'!G6)</f>
        <v/>
      </c>
      <c r="L92" s="7">
        <f>IF('⑤ 成長試算'!G14="—","—",(A92*'⑤ 成長試算'!G16+B92*'⑤ 成長試算'!G13+C92*'⑤ 成長試算'!G10+D92*'⑤ 成長試算'!G7)/E92)</f>
        <v/>
      </c>
      <c r="M92" s="7">
        <f>IF('⑤ 成長試算'!L14="—","—",A92*'⑤ 成長試算'!L14+B92*'⑤ 成長試算'!L11+C92*'⑤ 成長試算'!L8+D92*'⑤ 成長試算'!L5)</f>
        <v/>
      </c>
      <c r="N92" s="7">
        <f>IF('⑤ 成長試算'!L14="—","—",A92*'⑤ 成長試算'!L15+B92*'⑤ 成長試算'!L12+C92*'⑤ 成長試算'!L9+D92*'⑤ 成長試算'!L6)</f>
        <v/>
      </c>
      <c r="O92" s="7">
        <f>IF('⑤ 成長試算'!L14="—","—",(A92*'⑤ 成長試算'!L16+B92*'⑤ 成長試算'!L13+C92*'⑤ 成長試算'!L10+D92*'⑤ 成長試算'!L7)/E92)</f>
        <v/>
      </c>
      <c r="P92" s="5" t="inlineStr"/>
    </row>
    <row r="93">
      <c r="A93" s="5" t="n">
        <v>1</v>
      </c>
      <c r="B93" s="5" t="n">
        <v>1</v>
      </c>
      <c r="C93" s="5" t="n">
        <v>0</v>
      </c>
      <c r="D93" s="5" t="n">
        <v>1</v>
      </c>
      <c r="E93" s="5" t="n">
        <v>3</v>
      </c>
      <c r="F93" s="10" t="n">
        <v>11</v>
      </c>
      <c r="G93" s="7">
        <f>IF('⑤ 成長試算'!C14="—","—",A93*'⑤ 成長試算'!C14+B93*'⑤ 成長試算'!C11+C93*'⑤ 成長試算'!C8+D93*'⑤ 成長試算'!C5)</f>
        <v/>
      </c>
      <c r="H93" s="7">
        <f>IF('⑤ 成長試算'!C14="—","—",A93*'⑤ 成長試算'!C15+B93*'⑤ 成長試算'!C12+C93*'⑤ 成長試算'!C9+D93*'⑤ 成長試算'!C6)</f>
        <v/>
      </c>
      <c r="I93" s="7">
        <f>IF('⑤ 成長試算'!C14="—","—",(A93*'⑤ 成長試算'!C16+B93*'⑤ 成長試算'!C13+C93*'⑤ 成長試算'!C10+D93*'⑤ 成長試算'!C7)/E93)</f>
        <v/>
      </c>
      <c r="J93" s="7">
        <f>IF('⑤ 成長試算'!G14="—","—",A93*'⑤ 成長試算'!G14+B93*'⑤ 成長試算'!G11+C93*'⑤ 成長試算'!G8+D93*'⑤ 成長試算'!G5)</f>
        <v/>
      </c>
      <c r="K93" s="7">
        <f>IF('⑤ 成長試算'!G14="—","—",A93*'⑤ 成長試算'!G15+B93*'⑤ 成長試算'!G12+C93*'⑤ 成長試算'!G9+D93*'⑤ 成長試算'!G6)</f>
        <v/>
      </c>
      <c r="L93" s="7">
        <f>IF('⑤ 成長試算'!G14="—","—",(A93*'⑤ 成長試算'!G16+B93*'⑤ 成長試算'!G13+C93*'⑤ 成長試算'!G10+D93*'⑤ 成長試算'!G7)/E93)</f>
        <v/>
      </c>
      <c r="M93" s="7">
        <f>IF('⑤ 成長試算'!L14="—","—",A93*'⑤ 成長試算'!L14+B93*'⑤ 成長試算'!L11+C93*'⑤ 成長試算'!L8+D93*'⑤ 成長試算'!L5)</f>
        <v/>
      </c>
      <c r="N93" s="7">
        <f>IF('⑤ 成長試算'!L14="—","—",A93*'⑤ 成長試算'!L15+B93*'⑤ 成長試算'!L12+C93*'⑤ 成長試算'!L9+D93*'⑤ 成長試算'!L6)</f>
        <v/>
      </c>
      <c r="O93" s="7">
        <f>IF('⑤ 成長試算'!L14="—","—",(A93*'⑤ 成長試算'!L16+B93*'⑤ 成長試算'!L13+C93*'⑤ 成長試算'!L10+D93*'⑤ 成長試算'!L7)/E93)</f>
        <v/>
      </c>
      <c r="P93" s="5" t="inlineStr"/>
    </row>
    <row r="94">
      <c r="A94" s="5" t="n">
        <v>1</v>
      </c>
      <c r="B94" s="5" t="n">
        <v>0</v>
      </c>
      <c r="C94" s="5" t="n">
        <v>2</v>
      </c>
      <c r="D94" s="5" t="n">
        <v>0</v>
      </c>
      <c r="E94" s="5" t="n">
        <v>3</v>
      </c>
      <c r="F94" s="10" t="n">
        <v>11</v>
      </c>
      <c r="G94" s="7">
        <f>IF('⑤ 成長試算'!C14="—","—",A94*'⑤ 成長試算'!C14+B94*'⑤ 成長試算'!C11+C94*'⑤ 成長試算'!C8+D94*'⑤ 成長試算'!C5)</f>
        <v/>
      </c>
      <c r="H94" s="7">
        <f>IF('⑤ 成長試算'!C14="—","—",A94*'⑤ 成長試算'!C15+B94*'⑤ 成長試算'!C12+C94*'⑤ 成長試算'!C9+D94*'⑤ 成長試算'!C6)</f>
        <v/>
      </c>
      <c r="I94" s="7">
        <f>IF('⑤ 成長試算'!C14="—","—",(A94*'⑤ 成長試算'!C16+B94*'⑤ 成長試算'!C13+C94*'⑤ 成長試算'!C10+D94*'⑤ 成長試算'!C7)/E94)</f>
        <v/>
      </c>
      <c r="J94" s="7">
        <f>IF('⑤ 成長試算'!G14="—","—",A94*'⑤ 成長試算'!G14+B94*'⑤ 成長試算'!G11+C94*'⑤ 成長試算'!G8+D94*'⑤ 成長試算'!G5)</f>
        <v/>
      </c>
      <c r="K94" s="7">
        <f>IF('⑤ 成長試算'!G14="—","—",A94*'⑤ 成長試算'!G15+B94*'⑤ 成長試算'!G12+C94*'⑤ 成長試算'!G9+D94*'⑤ 成長試算'!G6)</f>
        <v/>
      </c>
      <c r="L94" s="7">
        <f>IF('⑤ 成長試算'!G14="—","—",(A94*'⑤ 成長試算'!G16+B94*'⑤ 成長試算'!G13+C94*'⑤ 成長試算'!G10+D94*'⑤ 成長試算'!G7)/E94)</f>
        <v/>
      </c>
      <c r="M94" s="7">
        <f>IF('⑤ 成長試算'!L14="—","—",A94*'⑤ 成長試算'!L14+B94*'⑤ 成長試算'!L11+C94*'⑤ 成長試算'!L8+D94*'⑤ 成長試算'!L5)</f>
        <v/>
      </c>
      <c r="N94" s="7">
        <f>IF('⑤ 成長試算'!L14="—","—",A94*'⑤ 成長試算'!L15+B94*'⑤ 成長試算'!L12+C94*'⑤ 成長試算'!L9+D94*'⑤ 成長試算'!L6)</f>
        <v/>
      </c>
      <c r="O94" s="7">
        <f>IF('⑤ 成長試算'!L14="—","—",(A94*'⑤ 成長試算'!L16+B94*'⑤ 成長試算'!L13+C94*'⑤ 成長試算'!L10+D94*'⑤ 成長試算'!L7)/E94)</f>
        <v/>
      </c>
      <c r="P94" s="5" t="inlineStr"/>
    </row>
    <row r="95">
      <c r="A95" s="5" t="n">
        <v>0</v>
      </c>
      <c r="B95" s="5" t="n">
        <v>2</v>
      </c>
      <c r="C95" s="5" t="n">
        <v>1</v>
      </c>
      <c r="D95" s="5" t="n">
        <v>0</v>
      </c>
      <c r="E95" s="5" t="n">
        <v>3</v>
      </c>
      <c r="F95" s="10" t="n">
        <v>11</v>
      </c>
      <c r="G95" s="7">
        <f>IF('⑤ 成長試算'!C14="—","—",A95*'⑤ 成長試算'!C14+B95*'⑤ 成長試算'!C11+C95*'⑤ 成長試算'!C8+D95*'⑤ 成長試算'!C5)</f>
        <v/>
      </c>
      <c r="H95" s="7">
        <f>IF('⑤ 成長試算'!C14="—","—",A95*'⑤ 成長試算'!C15+B95*'⑤ 成長試算'!C12+C95*'⑤ 成長試算'!C9+D95*'⑤ 成長試算'!C6)</f>
        <v/>
      </c>
      <c r="I95" s="7">
        <f>IF('⑤ 成長試算'!C14="—","—",(A95*'⑤ 成長試算'!C16+B95*'⑤ 成長試算'!C13+C95*'⑤ 成長試算'!C10+D95*'⑤ 成長試算'!C7)/E95)</f>
        <v/>
      </c>
      <c r="J95" s="7">
        <f>IF('⑤ 成長試算'!G14="—","—",A95*'⑤ 成長試算'!G14+B95*'⑤ 成長試算'!G11+C95*'⑤ 成長試算'!G8+D95*'⑤ 成長試算'!G5)</f>
        <v/>
      </c>
      <c r="K95" s="7">
        <f>IF('⑤ 成長試算'!G14="—","—",A95*'⑤ 成長試算'!G15+B95*'⑤ 成長試算'!G12+C95*'⑤ 成長試算'!G9+D95*'⑤ 成長試算'!G6)</f>
        <v/>
      </c>
      <c r="L95" s="7">
        <f>IF('⑤ 成長試算'!G14="—","—",(A95*'⑤ 成長試算'!G16+B95*'⑤ 成長試算'!G13+C95*'⑤ 成長試算'!G10+D95*'⑤ 成長試算'!G7)/E95)</f>
        <v/>
      </c>
      <c r="M95" s="7">
        <f>IF('⑤ 成長試算'!L14="—","—",A95*'⑤ 成長試算'!L14+B95*'⑤ 成長試算'!L11+C95*'⑤ 成長試算'!L8+D95*'⑤ 成長試算'!L5)</f>
        <v/>
      </c>
      <c r="N95" s="7">
        <f>IF('⑤ 成長試算'!L14="—","—",A95*'⑤ 成長試算'!L15+B95*'⑤ 成長試算'!L12+C95*'⑤ 成長試算'!L9+D95*'⑤ 成長試算'!L6)</f>
        <v/>
      </c>
      <c r="O95" s="7">
        <f>IF('⑤ 成長試算'!L14="—","—",(A95*'⑤ 成長試算'!L16+B95*'⑤ 成長試算'!L13+C95*'⑤ 成長試算'!L10+D95*'⑤ 成長試算'!L7)/E95)</f>
        <v/>
      </c>
      <c r="P95" s="5" t="inlineStr"/>
    </row>
    <row r="96">
      <c r="A96" s="5" t="n">
        <v>1</v>
      </c>
      <c r="B96" s="5" t="n">
        <v>0</v>
      </c>
      <c r="C96" s="5" t="n">
        <v>1</v>
      </c>
      <c r="D96" s="5" t="n">
        <v>1</v>
      </c>
      <c r="E96" s="5" t="n">
        <v>3</v>
      </c>
      <c r="F96" s="10" t="n">
        <v>10</v>
      </c>
      <c r="G96" s="7">
        <f>IF('⑤ 成長試算'!C14="—","—",A96*'⑤ 成長試算'!C14+B96*'⑤ 成長試算'!C11+C96*'⑤ 成長試算'!C8+D96*'⑤ 成長試算'!C5)</f>
        <v/>
      </c>
      <c r="H96" s="7">
        <f>IF('⑤ 成長試算'!C14="—","—",A96*'⑤ 成長試算'!C15+B96*'⑤ 成長試算'!C12+C96*'⑤ 成長試算'!C9+D96*'⑤ 成長試算'!C6)</f>
        <v/>
      </c>
      <c r="I96" s="7">
        <f>IF('⑤ 成長試算'!C14="—","—",(A96*'⑤ 成長試算'!C16+B96*'⑤ 成長試算'!C13+C96*'⑤ 成長試算'!C10+D96*'⑤ 成長試算'!C7)/E96)</f>
        <v/>
      </c>
      <c r="J96" s="7">
        <f>IF('⑤ 成長試算'!G14="—","—",A96*'⑤ 成長試算'!G14+B96*'⑤ 成長試算'!G11+C96*'⑤ 成長試算'!G8+D96*'⑤ 成長試算'!G5)</f>
        <v/>
      </c>
      <c r="K96" s="7">
        <f>IF('⑤ 成長試算'!G14="—","—",A96*'⑤ 成長試算'!G15+B96*'⑤ 成長試算'!G12+C96*'⑤ 成長試算'!G9+D96*'⑤ 成長試算'!G6)</f>
        <v/>
      </c>
      <c r="L96" s="7">
        <f>IF('⑤ 成長試算'!G14="—","—",(A96*'⑤ 成長試算'!G16+B96*'⑤ 成長試算'!G13+C96*'⑤ 成長試算'!G10+D96*'⑤ 成長試算'!G7)/E96)</f>
        <v/>
      </c>
      <c r="M96" s="7">
        <f>IF('⑤ 成長試算'!L14="—","—",A96*'⑤ 成長試算'!L14+B96*'⑤ 成長試算'!L11+C96*'⑤ 成長試算'!L8+D96*'⑤ 成長試算'!L5)</f>
        <v/>
      </c>
      <c r="N96" s="7">
        <f>IF('⑤ 成長試算'!L14="—","—",A96*'⑤ 成長試算'!L15+B96*'⑤ 成長試算'!L12+C96*'⑤ 成長試算'!L9+D96*'⑤ 成長試算'!L6)</f>
        <v/>
      </c>
      <c r="O96" s="7">
        <f>IF('⑤ 成長試算'!L14="—","—",(A96*'⑤ 成長試算'!L16+B96*'⑤ 成長試算'!L13+C96*'⑤ 成長試算'!L10+D96*'⑤ 成長試算'!L7)/E96)</f>
        <v/>
      </c>
      <c r="P96" s="5" t="inlineStr"/>
    </row>
    <row r="97">
      <c r="A97" s="5" t="n">
        <v>0</v>
      </c>
      <c r="B97" s="5" t="n">
        <v>2</v>
      </c>
      <c r="C97" s="5" t="n">
        <v>0</v>
      </c>
      <c r="D97" s="5" t="n">
        <v>1</v>
      </c>
      <c r="E97" s="5" t="n">
        <v>3</v>
      </c>
      <c r="F97" s="10" t="n">
        <v>10</v>
      </c>
      <c r="G97" s="7">
        <f>IF('⑤ 成長試算'!C14="—","—",A97*'⑤ 成長試算'!C14+B97*'⑤ 成長試算'!C11+C97*'⑤ 成長試算'!C8+D97*'⑤ 成長試算'!C5)</f>
        <v/>
      </c>
      <c r="H97" s="7">
        <f>IF('⑤ 成長試算'!C14="—","—",A97*'⑤ 成長試算'!C15+B97*'⑤ 成長試算'!C12+C97*'⑤ 成長試算'!C9+D97*'⑤ 成長試算'!C6)</f>
        <v/>
      </c>
      <c r="I97" s="7">
        <f>IF('⑤ 成長試算'!C14="—","—",(A97*'⑤ 成長試算'!C16+B97*'⑤ 成長試算'!C13+C97*'⑤ 成長試算'!C10+D97*'⑤ 成長試算'!C7)/E97)</f>
        <v/>
      </c>
      <c r="J97" s="7">
        <f>IF('⑤ 成長試算'!G14="—","—",A97*'⑤ 成長試算'!G14+B97*'⑤ 成長試算'!G11+C97*'⑤ 成長試算'!G8+D97*'⑤ 成長試算'!G5)</f>
        <v/>
      </c>
      <c r="K97" s="7">
        <f>IF('⑤ 成長試算'!G14="—","—",A97*'⑤ 成長試算'!G15+B97*'⑤ 成長試算'!G12+C97*'⑤ 成長試算'!G9+D97*'⑤ 成長試算'!G6)</f>
        <v/>
      </c>
      <c r="L97" s="7">
        <f>IF('⑤ 成長試算'!G14="—","—",(A97*'⑤ 成長試算'!G16+B97*'⑤ 成長試算'!G13+C97*'⑤ 成長試算'!G10+D97*'⑤ 成長試算'!G7)/E97)</f>
        <v/>
      </c>
      <c r="M97" s="7">
        <f>IF('⑤ 成長試算'!L14="—","—",A97*'⑤ 成長試算'!L14+B97*'⑤ 成長試算'!L11+C97*'⑤ 成長試算'!L8+D97*'⑤ 成長試算'!L5)</f>
        <v/>
      </c>
      <c r="N97" s="7">
        <f>IF('⑤ 成長試算'!L14="—","—",A97*'⑤ 成長試算'!L15+B97*'⑤ 成長試算'!L12+C97*'⑤ 成長試算'!L9+D97*'⑤ 成長試算'!L6)</f>
        <v/>
      </c>
      <c r="O97" s="7">
        <f>IF('⑤ 成長試算'!L14="—","—",(A97*'⑤ 成長試算'!L16+B97*'⑤ 成長試算'!L13+C97*'⑤ 成長試算'!L10+D97*'⑤ 成長試算'!L7)/E97)</f>
        <v/>
      </c>
      <c r="P97" s="5" t="inlineStr"/>
    </row>
    <row r="98">
      <c r="A98" s="5" t="n">
        <v>0</v>
      </c>
      <c r="B98" s="5" t="n">
        <v>1</v>
      </c>
      <c r="C98" s="5" t="n">
        <v>2</v>
      </c>
      <c r="D98" s="5" t="n">
        <v>0</v>
      </c>
      <c r="E98" s="5" t="n">
        <v>3</v>
      </c>
      <c r="F98" s="10" t="n">
        <v>10</v>
      </c>
      <c r="G98" s="7">
        <f>IF('⑤ 成長試算'!C14="—","—",A98*'⑤ 成長試算'!C14+B98*'⑤ 成長試算'!C11+C98*'⑤ 成長試算'!C8+D98*'⑤ 成長試算'!C5)</f>
        <v/>
      </c>
      <c r="H98" s="7">
        <f>IF('⑤ 成長試算'!C14="—","—",A98*'⑤ 成長試算'!C15+B98*'⑤ 成長試算'!C12+C98*'⑤ 成長試算'!C9+D98*'⑤ 成長試算'!C6)</f>
        <v/>
      </c>
      <c r="I98" s="7">
        <f>IF('⑤ 成長試算'!C14="—","—",(A98*'⑤ 成長試算'!C16+B98*'⑤ 成長試算'!C13+C98*'⑤ 成長試算'!C10+D98*'⑤ 成長試算'!C7)/E98)</f>
        <v/>
      </c>
      <c r="J98" s="7">
        <f>IF('⑤ 成長試算'!G14="—","—",A98*'⑤ 成長試算'!G14+B98*'⑤ 成長試算'!G11+C98*'⑤ 成長試算'!G8+D98*'⑤ 成長試算'!G5)</f>
        <v/>
      </c>
      <c r="K98" s="7">
        <f>IF('⑤ 成長試算'!G14="—","—",A98*'⑤ 成長試算'!G15+B98*'⑤ 成長試算'!G12+C98*'⑤ 成長試算'!G9+D98*'⑤ 成長試算'!G6)</f>
        <v/>
      </c>
      <c r="L98" s="7">
        <f>IF('⑤ 成長試算'!G14="—","—",(A98*'⑤ 成長試算'!G16+B98*'⑤ 成長試算'!G13+C98*'⑤ 成長試算'!G10+D98*'⑤ 成長試算'!G7)/E98)</f>
        <v/>
      </c>
      <c r="M98" s="7">
        <f>IF('⑤ 成長試算'!L14="—","—",A98*'⑤ 成長試算'!L14+B98*'⑤ 成長試算'!L11+C98*'⑤ 成長試算'!L8+D98*'⑤ 成長試算'!L5)</f>
        <v/>
      </c>
      <c r="N98" s="7">
        <f>IF('⑤ 成長試算'!L14="—","—",A98*'⑤ 成長試算'!L15+B98*'⑤ 成長試算'!L12+C98*'⑤ 成長試算'!L9+D98*'⑤ 成長試算'!L6)</f>
        <v/>
      </c>
      <c r="O98" s="7">
        <f>IF('⑤ 成長試算'!L14="—","—",(A98*'⑤ 成長試算'!L16+B98*'⑤ 成長試算'!L13+C98*'⑤ 成長試算'!L10+D98*'⑤ 成長試算'!L7)/E98)</f>
        <v/>
      </c>
      <c r="P98" s="5" t="inlineStr"/>
    </row>
    <row r="99">
      <c r="A99" s="5" t="n">
        <v>1</v>
      </c>
      <c r="B99" s="5" t="n">
        <v>0</v>
      </c>
      <c r="C99" s="5" t="n">
        <v>0</v>
      </c>
      <c r="D99" s="5" t="n">
        <v>2</v>
      </c>
      <c r="E99" s="5" t="n">
        <v>3</v>
      </c>
      <c r="F99" s="10" t="n">
        <v>9</v>
      </c>
      <c r="G99" s="7">
        <f>IF('⑤ 成長試算'!C14="—","—",A99*'⑤ 成長試算'!C14+B99*'⑤ 成長試算'!C11+C99*'⑤ 成長試算'!C8+D99*'⑤ 成長試算'!C5)</f>
        <v/>
      </c>
      <c r="H99" s="7">
        <f>IF('⑤ 成長試算'!C14="—","—",A99*'⑤ 成長試算'!C15+B99*'⑤ 成長試算'!C12+C99*'⑤ 成長試算'!C9+D99*'⑤ 成長試算'!C6)</f>
        <v/>
      </c>
      <c r="I99" s="7">
        <f>IF('⑤ 成長試算'!C14="—","—",(A99*'⑤ 成長試算'!C16+B99*'⑤ 成長試算'!C13+C99*'⑤ 成長試算'!C10+D99*'⑤ 成長試算'!C7)/E99)</f>
        <v/>
      </c>
      <c r="J99" s="7">
        <f>IF('⑤ 成長試算'!G14="—","—",A99*'⑤ 成長試算'!G14+B99*'⑤ 成長試算'!G11+C99*'⑤ 成長試算'!G8+D99*'⑤ 成長試算'!G5)</f>
        <v/>
      </c>
      <c r="K99" s="7">
        <f>IF('⑤ 成長試算'!G14="—","—",A99*'⑤ 成長試算'!G15+B99*'⑤ 成長試算'!G12+C99*'⑤ 成長試算'!G9+D99*'⑤ 成長試算'!G6)</f>
        <v/>
      </c>
      <c r="L99" s="7">
        <f>IF('⑤ 成長試算'!G14="—","—",(A99*'⑤ 成長試算'!G16+B99*'⑤ 成長試算'!G13+C99*'⑤ 成長試算'!G10+D99*'⑤ 成長試算'!G7)/E99)</f>
        <v/>
      </c>
      <c r="M99" s="7">
        <f>IF('⑤ 成長試算'!L14="—","—",A99*'⑤ 成長試算'!L14+B99*'⑤ 成長試算'!L11+C99*'⑤ 成長試算'!L8+D99*'⑤ 成長試算'!L5)</f>
        <v/>
      </c>
      <c r="N99" s="7">
        <f>IF('⑤ 成長試算'!L14="—","—",A99*'⑤ 成長試算'!L15+B99*'⑤ 成長試算'!L12+C99*'⑤ 成長試算'!L9+D99*'⑤ 成長試算'!L6)</f>
        <v/>
      </c>
      <c r="O99" s="7">
        <f>IF('⑤ 成長試算'!L14="—","—",(A99*'⑤ 成長試算'!L16+B99*'⑤ 成長試算'!L13+C99*'⑤ 成長試算'!L10+D99*'⑤ 成長試算'!L7)/E99)</f>
        <v/>
      </c>
      <c r="P99" s="5" t="inlineStr"/>
    </row>
    <row r="100">
      <c r="A100" s="5" t="n">
        <v>0</v>
      </c>
      <c r="B100" s="5" t="n">
        <v>1</v>
      </c>
      <c r="C100" s="5" t="n">
        <v>1</v>
      </c>
      <c r="D100" s="5" t="n">
        <v>1</v>
      </c>
      <c r="E100" s="5" t="n">
        <v>3</v>
      </c>
      <c r="F100" s="10" t="n">
        <v>9</v>
      </c>
      <c r="G100" s="7">
        <f>IF('⑤ 成長試算'!C14="—","—",A100*'⑤ 成長試算'!C14+B100*'⑤ 成長試算'!C11+C100*'⑤ 成長試算'!C8+D100*'⑤ 成長試算'!C5)</f>
        <v/>
      </c>
      <c r="H100" s="7">
        <f>IF('⑤ 成長試算'!C14="—","—",A100*'⑤ 成長試算'!C15+B100*'⑤ 成長試算'!C12+C100*'⑤ 成長試算'!C9+D100*'⑤ 成長試算'!C6)</f>
        <v/>
      </c>
      <c r="I100" s="7">
        <f>IF('⑤ 成長試算'!C14="—","—",(A100*'⑤ 成長試算'!C16+B100*'⑤ 成長試算'!C13+C100*'⑤ 成長試算'!C10+D100*'⑤ 成長試算'!C7)/E100)</f>
        <v/>
      </c>
      <c r="J100" s="7">
        <f>IF('⑤ 成長試算'!G14="—","—",A100*'⑤ 成長試算'!G14+B100*'⑤ 成長試算'!G11+C100*'⑤ 成長試算'!G8+D100*'⑤ 成長試算'!G5)</f>
        <v/>
      </c>
      <c r="K100" s="7">
        <f>IF('⑤ 成長試算'!G14="—","—",A100*'⑤ 成長試算'!G15+B100*'⑤ 成長試算'!G12+C100*'⑤ 成長試算'!G9+D100*'⑤ 成長試算'!G6)</f>
        <v/>
      </c>
      <c r="L100" s="7">
        <f>IF('⑤ 成長試算'!G14="—","—",(A100*'⑤ 成長試算'!G16+B100*'⑤ 成長試算'!G13+C100*'⑤ 成長試算'!G10+D100*'⑤ 成長試算'!G7)/E100)</f>
        <v/>
      </c>
      <c r="M100" s="7">
        <f>IF('⑤ 成長試算'!L14="—","—",A100*'⑤ 成長試算'!L14+B100*'⑤ 成長試算'!L11+C100*'⑤ 成長試算'!L8+D100*'⑤ 成長試算'!L5)</f>
        <v/>
      </c>
      <c r="N100" s="7">
        <f>IF('⑤ 成長試算'!L14="—","—",A100*'⑤ 成長試算'!L15+B100*'⑤ 成長試算'!L12+C100*'⑤ 成長試算'!L9+D100*'⑤ 成長試算'!L6)</f>
        <v/>
      </c>
      <c r="O100" s="7">
        <f>IF('⑤ 成長試算'!L14="—","—",(A100*'⑤ 成長試算'!L16+B100*'⑤ 成長試算'!L13+C100*'⑤ 成長試算'!L10+D100*'⑤ 成長試算'!L7)/E100)</f>
        <v/>
      </c>
      <c r="P100" s="5" t="inlineStr"/>
    </row>
    <row r="101">
      <c r="A101" s="5" t="n">
        <v>0</v>
      </c>
      <c r="B101" s="5" t="n">
        <v>0</v>
      </c>
      <c r="C101" s="5" t="n">
        <v>3</v>
      </c>
      <c r="D101" s="5" t="n">
        <v>0</v>
      </c>
      <c r="E101" s="5" t="n">
        <v>3</v>
      </c>
      <c r="F101" s="10" t="n">
        <v>9</v>
      </c>
      <c r="G101" s="7">
        <f>IF('⑤ 成長試算'!C14="—","—",A101*'⑤ 成長試算'!C14+B101*'⑤ 成長試算'!C11+C101*'⑤ 成長試算'!C8+D101*'⑤ 成長試算'!C5)</f>
        <v/>
      </c>
      <c r="H101" s="7">
        <f>IF('⑤ 成長試算'!C14="—","—",A101*'⑤ 成長試算'!C15+B101*'⑤ 成長試算'!C12+C101*'⑤ 成長試算'!C9+D101*'⑤ 成長試算'!C6)</f>
        <v/>
      </c>
      <c r="I101" s="7">
        <f>IF('⑤ 成長試算'!C14="—","—",(A101*'⑤ 成長試算'!C16+B101*'⑤ 成長試算'!C13+C101*'⑤ 成長試算'!C10+D101*'⑤ 成長試算'!C7)/E101)</f>
        <v/>
      </c>
      <c r="J101" s="7">
        <f>IF('⑤ 成長試算'!G14="—","—",A101*'⑤ 成長試算'!G14+B101*'⑤ 成長試算'!G11+C101*'⑤ 成長試算'!G8+D101*'⑤ 成長試算'!G5)</f>
        <v/>
      </c>
      <c r="K101" s="7">
        <f>IF('⑤ 成長試算'!G14="—","—",A101*'⑤ 成長試算'!G15+B101*'⑤ 成長試算'!G12+C101*'⑤ 成長試算'!G9+D101*'⑤ 成長試算'!G6)</f>
        <v/>
      </c>
      <c r="L101" s="7">
        <f>IF('⑤ 成長試算'!G14="—","—",(A101*'⑤ 成長試算'!G16+B101*'⑤ 成長試算'!G13+C101*'⑤ 成長試算'!G10+D101*'⑤ 成長試算'!G7)/E101)</f>
        <v/>
      </c>
      <c r="M101" s="7">
        <f>IF('⑤ 成長試算'!L14="—","—",A101*'⑤ 成長試算'!L14+B101*'⑤ 成長試算'!L11+C101*'⑤ 成長試算'!L8+D101*'⑤ 成長試算'!L5)</f>
        <v/>
      </c>
      <c r="N101" s="7">
        <f>IF('⑤ 成長試算'!L14="—","—",A101*'⑤ 成長試算'!L15+B101*'⑤ 成長試算'!L12+C101*'⑤ 成長試算'!L9+D101*'⑤ 成長試算'!L6)</f>
        <v/>
      </c>
      <c r="O101" s="7">
        <f>IF('⑤ 成長試算'!L14="—","—",(A101*'⑤ 成長試算'!L16+B101*'⑤ 成長試算'!L13+C101*'⑤ 成長試算'!L10+D101*'⑤ 成長試算'!L7)/E101)</f>
        <v/>
      </c>
      <c r="P101" s="5" t="inlineStr"/>
    </row>
    <row r="102">
      <c r="A102" s="5" t="n">
        <v>0</v>
      </c>
      <c r="B102" s="5" t="n">
        <v>1</v>
      </c>
      <c r="C102" s="5" t="n">
        <v>0</v>
      </c>
      <c r="D102" s="5" t="n">
        <v>2</v>
      </c>
      <c r="E102" s="5" t="n">
        <v>3</v>
      </c>
      <c r="F102" s="10" t="n">
        <v>8</v>
      </c>
      <c r="G102" s="7">
        <f>IF('⑤ 成長試算'!C14="—","—",A102*'⑤ 成長試算'!C14+B102*'⑤ 成長試算'!C11+C102*'⑤ 成長試算'!C8+D102*'⑤ 成長試算'!C5)</f>
        <v/>
      </c>
      <c r="H102" s="7">
        <f>IF('⑤ 成長試算'!C14="—","—",A102*'⑤ 成長試算'!C15+B102*'⑤ 成長試算'!C12+C102*'⑤ 成長試算'!C9+D102*'⑤ 成長試算'!C6)</f>
        <v/>
      </c>
      <c r="I102" s="7">
        <f>IF('⑤ 成長試算'!C14="—","—",(A102*'⑤ 成長試算'!C16+B102*'⑤ 成長試算'!C13+C102*'⑤ 成長試算'!C10+D102*'⑤ 成長試算'!C7)/E102)</f>
        <v/>
      </c>
      <c r="J102" s="7">
        <f>IF('⑤ 成長試算'!G14="—","—",A102*'⑤ 成長試算'!G14+B102*'⑤ 成長試算'!G11+C102*'⑤ 成長試算'!G8+D102*'⑤ 成長試算'!G5)</f>
        <v/>
      </c>
      <c r="K102" s="7">
        <f>IF('⑤ 成長試算'!G14="—","—",A102*'⑤ 成長試算'!G15+B102*'⑤ 成長試算'!G12+C102*'⑤ 成長試算'!G9+D102*'⑤ 成長試算'!G6)</f>
        <v/>
      </c>
      <c r="L102" s="7">
        <f>IF('⑤ 成長試算'!G14="—","—",(A102*'⑤ 成長試算'!G16+B102*'⑤ 成長試算'!G13+C102*'⑤ 成長試算'!G10+D102*'⑤ 成長試算'!G7)/E102)</f>
        <v/>
      </c>
      <c r="M102" s="7">
        <f>IF('⑤ 成長試算'!L14="—","—",A102*'⑤ 成長試算'!L14+B102*'⑤ 成長試算'!L11+C102*'⑤ 成長試算'!L8+D102*'⑤ 成長試算'!L5)</f>
        <v/>
      </c>
      <c r="N102" s="7">
        <f>IF('⑤ 成長試算'!L14="—","—",A102*'⑤ 成長試算'!L15+B102*'⑤ 成長試算'!L12+C102*'⑤ 成長試算'!L9+D102*'⑤ 成長試算'!L6)</f>
        <v/>
      </c>
      <c r="O102" s="7">
        <f>IF('⑤ 成長試算'!L14="—","—",(A102*'⑤ 成長試算'!L16+B102*'⑤ 成長試算'!L13+C102*'⑤ 成長試算'!L10+D102*'⑤ 成長試算'!L7)/E102)</f>
        <v/>
      </c>
      <c r="P102" s="5" t="inlineStr"/>
    </row>
    <row r="103">
      <c r="A103" s="5" t="n">
        <v>0</v>
      </c>
      <c r="B103" s="5" t="n">
        <v>0</v>
      </c>
      <c r="C103" s="5" t="n">
        <v>2</v>
      </c>
      <c r="D103" s="5" t="n">
        <v>1</v>
      </c>
      <c r="E103" s="5" t="n">
        <v>3</v>
      </c>
      <c r="F103" s="10" t="n">
        <v>8</v>
      </c>
      <c r="G103" s="7">
        <f>IF('⑤ 成長試算'!C14="—","—",A103*'⑤ 成長試算'!C14+B103*'⑤ 成長試算'!C11+C103*'⑤ 成長試算'!C8+D103*'⑤ 成長試算'!C5)</f>
        <v/>
      </c>
      <c r="H103" s="7">
        <f>IF('⑤ 成長試算'!C14="—","—",A103*'⑤ 成長試算'!C15+B103*'⑤ 成長試算'!C12+C103*'⑤ 成長試算'!C9+D103*'⑤ 成長試算'!C6)</f>
        <v/>
      </c>
      <c r="I103" s="7">
        <f>IF('⑤ 成長試算'!C14="—","—",(A103*'⑤ 成長試算'!C16+B103*'⑤ 成長試算'!C13+C103*'⑤ 成長試算'!C10+D103*'⑤ 成長試算'!C7)/E103)</f>
        <v/>
      </c>
      <c r="J103" s="7">
        <f>IF('⑤ 成長試算'!G14="—","—",A103*'⑤ 成長試算'!G14+B103*'⑤ 成長試算'!G11+C103*'⑤ 成長試算'!G8+D103*'⑤ 成長試算'!G5)</f>
        <v/>
      </c>
      <c r="K103" s="7">
        <f>IF('⑤ 成長試算'!G14="—","—",A103*'⑤ 成長試算'!G15+B103*'⑤ 成長試算'!G12+C103*'⑤ 成長試算'!G9+D103*'⑤ 成長試算'!G6)</f>
        <v/>
      </c>
      <c r="L103" s="7">
        <f>IF('⑤ 成長試算'!G14="—","—",(A103*'⑤ 成長試算'!G16+B103*'⑤ 成長試算'!G13+C103*'⑤ 成長試算'!G10+D103*'⑤ 成長試算'!G7)/E103)</f>
        <v/>
      </c>
      <c r="M103" s="7">
        <f>IF('⑤ 成長試算'!L14="—","—",A103*'⑤ 成長試算'!L14+B103*'⑤ 成長試算'!L11+C103*'⑤ 成長試算'!L8+D103*'⑤ 成長試算'!L5)</f>
        <v/>
      </c>
      <c r="N103" s="7">
        <f>IF('⑤ 成長試算'!L14="—","—",A103*'⑤ 成長試算'!L15+B103*'⑤ 成長試算'!L12+C103*'⑤ 成長試算'!L9+D103*'⑤ 成長試算'!L6)</f>
        <v/>
      </c>
      <c r="O103" s="7">
        <f>IF('⑤ 成長試算'!L14="—","—",(A103*'⑤ 成長試算'!L16+B103*'⑤ 成長試算'!L13+C103*'⑤ 成長試算'!L10+D103*'⑤ 成長試算'!L7)/E103)</f>
        <v/>
      </c>
      <c r="P103" s="5" t="inlineStr"/>
    </row>
    <row r="104">
      <c r="A104" s="5" t="n">
        <v>0</v>
      </c>
      <c r="B104" s="5" t="n">
        <v>0</v>
      </c>
      <c r="C104" s="5" t="n">
        <v>1</v>
      </c>
      <c r="D104" s="5" t="n">
        <v>2</v>
      </c>
      <c r="E104" s="5" t="n">
        <v>3</v>
      </c>
      <c r="F104" s="10" t="n">
        <v>7</v>
      </c>
      <c r="G104" s="7">
        <f>IF('⑤ 成長試算'!C14="—","—",A104*'⑤ 成長試算'!C14+B104*'⑤ 成長試算'!C11+C104*'⑤ 成長試算'!C8+D104*'⑤ 成長試算'!C5)</f>
        <v/>
      </c>
      <c r="H104" s="7">
        <f>IF('⑤ 成長試算'!C14="—","—",A104*'⑤ 成長試算'!C15+B104*'⑤ 成長試算'!C12+C104*'⑤ 成長試算'!C9+D104*'⑤ 成長試算'!C6)</f>
        <v/>
      </c>
      <c r="I104" s="7">
        <f>IF('⑤ 成長試算'!C14="—","—",(A104*'⑤ 成長試算'!C16+B104*'⑤ 成長試算'!C13+C104*'⑤ 成長試算'!C10+D104*'⑤ 成長試算'!C7)/E104)</f>
        <v/>
      </c>
      <c r="J104" s="7">
        <f>IF('⑤ 成長試算'!G14="—","—",A104*'⑤ 成長試算'!G14+B104*'⑤ 成長試算'!G11+C104*'⑤ 成長試算'!G8+D104*'⑤ 成長試算'!G5)</f>
        <v/>
      </c>
      <c r="K104" s="7">
        <f>IF('⑤ 成長試算'!G14="—","—",A104*'⑤ 成長試算'!G15+B104*'⑤ 成長試算'!G12+C104*'⑤ 成長試算'!G9+D104*'⑤ 成長試算'!G6)</f>
        <v/>
      </c>
      <c r="L104" s="7">
        <f>IF('⑤ 成長試算'!G14="—","—",(A104*'⑤ 成長試算'!G16+B104*'⑤ 成長試算'!G13+C104*'⑤ 成長試算'!G10+D104*'⑤ 成長試算'!G7)/E104)</f>
        <v/>
      </c>
      <c r="M104" s="7">
        <f>IF('⑤ 成長試算'!L14="—","—",A104*'⑤ 成長試算'!L14+B104*'⑤ 成長試算'!L11+C104*'⑤ 成長試算'!L8+D104*'⑤ 成長試算'!L5)</f>
        <v/>
      </c>
      <c r="N104" s="7">
        <f>IF('⑤ 成長試算'!L14="—","—",A104*'⑤ 成長試算'!L15+B104*'⑤ 成長試算'!L12+C104*'⑤ 成長試算'!L9+D104*'⑤ 成長試算'!L6)</f>
        <v/>
      </c>
      <c r="O104" s="7">
        <f>IF('⑤ 成長試算'!L14="—","—",(A104*'⑤ 成長試算'!L16+B104*'⑤ 成長試算'!L13+C104*'⑤ 成長試算'!L10+D104*'⑤ 成長試算'!L7)/E104)</f>
        <v/>
      </c>
      <c r="P104" s="5" t="inlineStr"/>
    </row>
    <row r="105">
      <c r="A105" s="5" t="n">
        <v>0</v>
      </c>
      <c r="B105" s="5" t="n">
        <v>0</v>
      </c>
      <c r="C105" s="5" t="n">
        <v>0</v>
      </c>
      <c r="D105" s="5" t="n">
        <v>3</v>
      </c>
      <c r="E105" s="5" t="n">
        <v>3</v>
      </c>
      <c r="F105" s="10" t="n">
        <v>6</v>
      </c>
      <c r="G105" s="7">
        <f>IF('⑤ 成長試算'!C14="—","—",A105*'⑤ 成長試算'!C14+B105*'⑤ 成長試算'!C11+C105*'⑤ 成長試算'!C8+D105*'⑤ 成長試算'!C5)</f>
        <v/>
      </c>
      <c r="H105" s="7">
        <f>IF('⑤ 成長試算'!C14="—","—",A105*'⑤ 成長試算'!C15+B105*'⑤ 成長試算'!C12+C105*'⑤ 成長試算'!C9+D105*'⑤ 成長試算'!C6)</f>
        <v/>
      </c>
      <c r="I105" s="7">
        <f>IF('⑤ 成長試算'!C14="—","—",(A105*'⑤ 成長試算'!C16+B105*'⑤ 成長試算'!C13+C105*'⑤ 成長試算'!C10+D105*'⑤ 成長試算'!C7)/E105)</f>
        <v/>
      </c>
      <c r="J105" s="7">
        <f>IF('⑤ 成長試算'!G14="—","—",A105*'⑤ 成長試算'!G14+B105*'⑤ 成長試算'!G11+C105*'⑤ 成長試算'!G8+D105*'⑤ 成長試算'!G5)</f>
        <v/>
      </c>
      <c r="K105" s="7">
        <f>IF('⑤ 成長試算'!G14="—","—",A105*'⑤ 成長試算'!G15+B105*'⑤ 成長試算'!G12+C105*'⑤ 成長試算'!G9+D105*'⑤ 成長試算'!G6)</f>
        <v/>
      </c>
      <c r="L105" s="7">
        <f>IF('⑤ 成長試算'!G14="—","—",(A105*'⑤ 成長試算'!G16+B105*'⑤ 成長試算'!G13+C105*'⑤ 成長試算'!G10+D105*'⑤ 成長試算'!G7)/E105)</f>
        <v/>
      </c>
      <c r="M105" s="7">
        <f>IF('⑤ 成長試算'!L14="—","—",A105*'⑤ 成長試算'!L14+B105*'⑤ 成長試算'!L11+C105*'⑤ 成長試算'!L8+D105*'⑤ 成長試算'!L5)</f>
        <v/>
      </c>
      <c r="N105" s="7">
        <f>IF('⑤ 成長試算'!L14="—","—",A105*'⑤ 成長試算'!L15+B105*'⑤ 成長試算'!L12+C105*'⑤ 成長試算'!L9+D105*'⑤ 成長試算'!L6)</f>
        <v/>
      </c>
      <c r="O105" s="7">
        <f>IF('⑤ 成長試算'!L14="—","—",(A105*'⑤ 成長試算'!L16+B105*'⑤ 成長試算'!L13+C105*'⑤ 成長試算'!L10+D105*'⑤ 成長試算'!L7)/E105)</f>
        <v/>
      </c>
      <c r="P105" s="5" t="inlineStr">
        <is>
          <t>C単一（最安）</t>
        </is>
      </c>
    </row>
    <row r="106">
      <c r="A106" s="5" t="n">
        <v>2</v>
      </c>
      <c r="B106" s="5" t="n">
        <v>0</v>
      </c>
      <c r="C106" s="5" t="n">
        <v>0</v>
      </c>
      <c r="D106" s="5" t="n">
        <v>0</v>
      </c>
      <c r="E106" s="5" t="n">
        <v>2</v>
      </c>
      <c r="F106" s="10" t="n">
        <v>10</v>
      </c>
      <c r="G106" s="7">
        <f>IF('⑤ 成長試算'!C14="—","—",A106*'⑤ 成長試算'!C14+B106*'⑤ 成長試算'!C11+C106*'⑤ 成長試算'!C8+D106*'⑤ 成長試算'!C5)</f>
        <v/>
      </c>
      <c r="H106" s="7">
        <f>IF('⑤ 成長試算'!C14="—","—",A106*'⑤ 成長試算'!C15+B106*'⑤ 成長試算'!C12+C106*'⑤ 成長試算'!C9+D106*'⑤ 成長試算'!C6)</f>
        <v/>
      </c>
      <c r="I106" s="7">
        <f>IF('⑤ 成長試算'!C14="—","—",(A106*'⑤ 成長試算'!C16+B106*'⑤ 成長試算'!C13+C106*'⑤ 成長試算'!C10+D106*'⑤ 成長試算'!C7)/E106)</f>
        <v/>
      </c>
      <c r="J106" s="7">
        <f>IF('⑤ 成長試算'!G14="—","—",A106*'⑤ 成長試算'!G14+B106*'⑤ 成長試算'!G11+C106*'⑤ 成長試算'!G8+D106*'⑤ 成長試算'!G5)</f>
        <v/>
      </c>
      <c r="K106" s="7">
        <f>IF('⑤ 成長試算'!G14="—","—",A106*'⑤ 成長試算'!G15+B106*'⑤ 成長試算'!G12+C106*'⑤ 成長試算'!G9+D106*'⑤ 成長試算'!G6)</f>
        <v/>
      </c>
      <c r="L106" s="7">
        <f>IF('⑤ 成長試算'!G14="—","—",(A106*'⑤ 成長試算'!G16+B106*'⑤ 成長試算'!G13+C106*'⑤ 成長試算'!G10+D106*'⑤ 成長試算'!G7)/E106)</f>
        <v/>
      </c>
      <c r="M106" s="7">
        <f>IF('⑤ 成長試算'!L14="—","—",A106*'⑤ 成長試算'!L14+B106*'⑤ 成長試算'!L11+C106*'⑤ 成長試算'!L8+D106*'⑤ 成長試算'!L5)</f>
        <v/>
      </c>
      <c r="N106" s="7">
        <f>IF('⑤ 成長試算'!L14="—","—",A106*'⑤ 成長試算'!L15+B106*'⑤ 成長試算'!L12+C106*'⑤ 成長試算'!L9+D106*'⑤ 成長試算'!L6)</f>
        <v/>
      </c>
      <c r="O106" s="7">
        <f>IF('⑤ 成長試算'!L14="—","—",(A106*'⑤ 成長試算'!L16+B106*'⑤ 成長試算'!L13+C106*'⑤ 成長試算'!L10+D106*'⑤ 成長試算'!L7)/E106)</f>
        <v/>
      </c>
      <c r="P106" s="5" t="inlineStr">
        <is>
          <t>S単一</t>
        </is>
      </c>
    </row>
    <row r="107">
      <c r="A107" s="5" t="n">
        <v>1</v>
      </c>
      <c r="B107" s="5" t="n">
        <v>1</v>
      </c>
      <c r="C107" s="5" t="n">
        <v>0</v>
      </c>
      <c r="D107" s="5" t="n">
        <v>0</v>
      </c>
      <c r="E107" s="5" t="n">
        <v>2</v>
      </c>
      <c r="F107" s="10" t="n">
        <v>9</v>
      </c>
      <c r="G107" s="7">
        <f>IF('⑤ 成長試算'!C14="—","—",A107*'⑤ 成長試算'!C14+B107*'⑤ 成長試算'!C11+C107*'⑤ 成長試算'!C8+D107*'⑤ 成長試算'!C5)</f>
        <v/>
      </c>
      <c r="H107" s="7">
        <f>IF('⑤ 成長試算'!C14="—","—",A107*'⑤ 成長試算'!C15+B107*'⑤ 成長試算'!C12+C107*'⑤ 成長試算'!C9+D107*'⑤ 成長試算'!C6)</f>
        <v/>
      </c>
      <c r="I107" s="7">
        <f>IF('⑤ 成長試算'!C14="—","—",(A107*'⑤ 成長試算'!C16+B107*'⑤ 成長試算'!C13+C107*'⑤ 成長試算'!C10+D107*'⑤ 成長試算'!C7)/E107)</f>
        <v/>
      </c>
      <c r="J107" s="7">
        <f>IF('⑤ 成長試算'!G14="—","—",A107*'⑤ 成長試算'!G14+B107*'⑤ 成長試算'!G11+C107*'⑤ 成長試算'!G8+D107*'⑤ 成長試算'!G5)</f>
        <v/>
      </c>
      <c r="K107" s="7">
        <f>IF('⑤ 成長試算'!G14="—","—",A107*'⑤ 成長試算'!G15+B107*'⑤ 成長試算'!G12+C107*'⑤ 成長試算'!G9+D107*'⑤ 成長試算'!G6)</f>
        <v/>
      </c>
      <c r="L107" s="7">
        <f>IF('⑤ 成長試算'!G14="—","—",(A107*'⑤ 成長試算'!G16+B107*'⑤ 成長試算'!G13+C107*'⑤ 成長試算'!G10+D107*'⑤ 成長試算'!G7)/E107)</f>
        <v/>
      </c>
      <c r="M107" s="7">
        <f>IF('⑤ 成長試算'!L14="—","—",A107*'⑤ 成長試算'!L14+B107*'⑤ 成長試算'!L11+C107*'⑤ 成長試算'!L8+D107*'⑤ 成長試算'!L5)</f>
        <v/>
      </c>
      <c r="N107" s="7">
        <f>IF('⑤ 成長試算'!L14="—","—",A107*'⑤ 成長試算'!L15+B107*'⑤ 成長試算'!L12+C107*'⑤ 成長試算'!L9+D107*'⑤ 成長試算'!L6)</f>
        <v/>
      </c>
      <c r="O107" s="7">
        <f>IF('⑤ 成長試算'!L14="—","—",(A107*'⑤ 成長試算'!L16+B107*'⑤ 成長試算'!L13+C107*'⑤ 成長試算'!L10+D107*'⑤ 成長試算'!L7)/E107)</f>
        <v/>
      </c>
      <c r="P107" s="5" t="inlineStr"/>
    </row>
    <row r="108">
      <c r="A108" s="5" t="n">
        <v>1</v>
      </c>
      <c r="B108" s="5" t="n">
        <v>0</v>
      </c>
      <c r="C108" s="5" t="n">
        <v>1</v>
      </c>
      <c r="D108" s="5" t="n">
        <v>0</v>
      </c>
      <c r="E108" s="5" t="n">
        <v>2</v>
      </c>
      <c r="F108" s="10" t="n">
        <v>8</v>
      </c>
      <c r="G108" s="7">
        <f>IF('⑤ 成長試算'!C14="—","—",A108*'⑤ 成長試算'!C14+B108*'⑤ 成長試算'!C11+C108*'⑤ 成長試算'!C8+D108*'⑤ 成長試算'!C5)</f>
        <v/>
      </c>
      <c r="H108" s="7">
        <f>IF('⑤ 成長試算'!C14="—","—",A108*'⑤ 成長試算'!C15+B108*'⑤ 成長試算'!C12+C108*'⑤ 成長試算'!C9+D108*'⑤ 成長試算'!C6)</f>
        <v/>
      </c>
      <c r="I108" s="7">
        <f>IF('⑤ 成長試算'!C14="—","—",(A108*'⑤ 成長試算'!C16+B108*'⑤ 成長試算'!C13+C108*'⑤ 成長試算'!C10+D108*'⑤ 成長試算'!C7)/E108)</f>
        <v/>
      </c>
      <c r="J108" s="7">
        <f>IF('⑤ 成長試算'!G14="—","—",A108*'⑤ 成長試算'!G14+B108*'⑤ 成長試算'!G11+C108*'⑤ 成長試算'!G8+D108*'⑤ 成長試算'!G5)</f>
        <v/>
      </c>
      <c r="K108" s="7">
        <f>IF('⑤ 成長試算'!G14="—","—",A108*'⑤ 成長試算'!G15+B108*'⑤ 成長試算'!G12+C108*'⑤ 成長試算'!G9+D108*'⑤ 成長試算'!G6)</f>
        <v/>
      </c>
      <c r="L108" s="7">
        <f>IF('⑤ 成長試算'!G14="—","—",(A108*'⑤ 成長試算'!G16+B108*'⑤ 成長試算'!G13+C108*'⑤ 成長試算'!G10+D108*'⑤ 成長試算'!G7)/E108)</f>
        <v/>
      </c>
      <c r="M108" s="7">
        <f>IF('⑤ 成長試算'!L14="—","—",A108*'⑤ 成長試算'!L14+B108*'⑤ 成長試算'!L11+C108*'⑤ 成長試算'!L8+D108*'⑤ 成長試算'!L5)</f>
        <v/>
      </c>
      <c r="N108" s="7">
        <f>IF('⑤ 成長試算'!L14="—","—",A108*'⑤ 成長試算'!L15+B108*'⑤ 成長試算'!L12+C108*'⑤ 成長試算'!L9+D108*'⑤ 成長試算'!L6)</f>
        <v/>
      </c>
      <c r="O108" s="7">
        <f>IF('⑤ 成長試算'!L14="—","—",(A108*'⑤ 成長試算'!L16+B108*'⑤ 成長試算'!L13+C108*'⑤ 成長試算'!L10+D108*'⑤ 成長試算'!L7)/E108)</f>
        <v/>
      </c>
      <c r="P108" s="5" t="inlineStr"/>
    </row>
    <row r="109">
      <c r="A109" s="5" t="n">
        <v>0</v>
      </c>
      <c r="B109" s="5" t="n">
        <v>2</v>
      </c>
      <c r="C109" s="5" t="n">
        <v>0</v>
      </c>
      <c r="D109" s="5" t="n">
        <v>0</v>
      </c>
      <c r="E109" s="5" t="n">
        <v>2</v>
      </c>
      <c r="F109" s="10" t="n">
        <v>8</v>
      </c>
      <c r="G109" s="7">
        <f>IF('⑤ 成長試算'!C14="—","—",A109*'⑤ 成長試算'!C14+B109*'⑤ 成長試算'!C11+C109*'⑤ 成長試算'!C8+D109*'⑤ 成長試算'!C5)</f>
        <v/>
      </c>
      <c r="H109" s="7">
        <f>IF('⑤ 成長試算'!C14="—","—",A109*'⑤ 成長試算'!C15+B109*'⑤ 成長試算'!C12+C109*'⑤ 成長試算'!C9+D109*'⑤ 成長試算'!C6)</f>
        <v/>
      </c>
      <c r="I109" s="7">
        <f>IF('⑤ 成長試算'!C14="—","—",(A109*'⑤ 成長試算'!C16+B109*'⑤ 成長試算'!C13+C109*'⑤ 成長試算'!C10+D109*'⑤ 成長試算'!C7)/E109)</f>
        <v/>
      </c>
      <c r="J109" s="7">
        <f>IF('⑤ 成長試算'!G14="—","—",A109*'⑤ 成長試算'!G14+B109*'⑤ 成長試算'!G11+C109*'⑤ 成長試算'!G8+D109*'⑤ 成長試算'!G5)</f>
        <v/>
      </c>
      <c r="K109" s="7">
        <f>IF('⑤ 成長試算'!G14="—","—",A109*'⑤ 成長試算'!G15+B109*'⑤ 成長試算'!G12+C109*'⑤ 成長試算'!G9+D109*'⑤ 成長試算'!G6)</f>
        <v/>
      </c>
      <c r="L109" s="7">
        <f>IF('⑤ 成長試算'!G14="—","—",(A109*'⑤ 成長試算'!G16+B109*'⑤ 成長試算'!G13+C109*'⑤ 成長試算'!G10+D109*'⑤ 成長試算'!G7)/E109)</f>
        <v/>
      </c>
      <c r="M109" s="7">
        <f>IF('⑤ 成長試算'!L14="—","—",A109*'⑤ 成長試算'!L14+B109*'⑤ 成長試算'!L11+C109*'⑤ 成長試算'!L8+D109*'⑤ 成長試算'!L5)</f>
        <v/>
      </c>
      <c r="N109" s="7">
        <f>IF('⑤ 成長試算'!L14="—","—",A109*'⑤ 成長試算'!L15+B109*'⑤ 成長試算'!L12+C109*'⑤ 成長試算'!L9+D109*'⑤ 成長試算'!L6)</f>
        <v/>
      </c>
      <c r="O109" s="7">
        <f>IF('⑤ 成長試算'!L14="—","—",(A109*'⑤ 成長試算'!L16+B109*'⑤ 成長試算'!L13+C109*'⑤ 成長試算'!L10+D109*'⑤ 成長試算'!L7)/E109)</f>
        <v/>
      </c>
      <c r="P109" s="5" t="inlineStr"/>
    </row>
    <row r="110">
      <c r="A110" s="5" t="n">
        <v>1</v>
      </c>
      <c r="B110" s="5" t="n">
        <v>0</v>
      </c>
      <c r="C110" s="5" t="n">
        <v>0</v>
      </c>
      <c r="D110" s="5" t="n">
        <v>1</v>
      </c>
      <c r="E110" s="5" t="n">
        <v>2</v>
      </c>
      <c r="F110" s="10" t="n">
        <v>7</v>
      </c>
      <c r="G110" s="7">
        <f>IF('⑤ 成長試算'!C14="—","—",A110*'⑤ 成長試算'!C14+B110*'⑤ 成長試算'!C11+C110*'⑤ 成長試算'!C8+D110*'⑤ 成長試算'!C5)</f>
        <v/>
      </c>
      <c r="H110" s="7">
        <f>IF('⑤ 成長試算'!C14="—","—",A110*'⑤ 成長試算'!C15+B110*'⑤ 成長試算'!C12+C110*'⑤ 成長試算'!C9+D110*'⑤ 成長試算'!C6)</f>
        <v/>
      </c>
      <c r="I110" s="7">
        <f>IF('⑤ 成長試算'!C14="—","—",(A110*'⑤ 成長試算'!C16+B110*'⑤ 成長試算'!C13+C110*'⑤ 成長試算'!C10+D110*'⑤ 成長試算'!C7)/E110)</f>
        <v/>
      </c>
      <c r="J110" s="7">
        <f>IF('⑤ 成長試算'!G14="—","—",A110*'⑤ 成長試算'!G14+B110*'⑤ 成長試算'!G11+C110*'⑤ 成長試算'!G8+D110*'⑤ 成長試算'!G5)</f>
        <v/>
      </c>
      <c r="K110" s="7">
        <f>IF('⑤ 成長試算'!G14="—","—",A110*'⑤ 成長試算'!G15+B110*'⑤ 成長試算'!G12+C110*'⑤ 成長試算'!G9+D110*'⑤ 成長試算'!G6)</f>
        <v/>
      </c>
      <c r="L110" s="7">
        <f>IF('⑤ 成長試算'!G14="—","—",(A110*'⑤ 成長試算'!G16+B110*'⑤ 成長試算'!G13+C110*'⑤ 成長試算'!G10+D110*'⑤ 成長試算'!G7)/E110)</f>
        <v/>
      </c>
      <c r="M110" s="7">
        <f>IF('⑤ 成長試算'!L14="—","—",A110*'⑤ 成長試算'!L14+B110*'⑤ 成長試算'!L11+C110*'⑤ 成長試算'!L8+D110*'⑤ 成長試算'!L5)</f>
        <v/>
      </c>
      <c r="N110" s="7">
        <f>IF('⑤ 成長試算'!L14="—","—",A110*'⑤ 成長試算'!L15+B110*'⑤ 成長試算'!L12+C110*'⑤ 成長試算'!L9+D110*'⑤ 成長試算'!L6)</f>
        <v/>
      </c>
      <c r="O110" s="7">
        <f>IF('⑤ 成長試算'!L14="—","—",(A110*'⑤ 成長試算'!L16+B110*'⑤ 成長試算'!L13+C110*'⑤ 成長試算'!L10+D110*'⑤ 成長試算'!L7)/E110)</f>
        <v/>
      </c>
      <c r="P110" s="5" t="inlineStr"/>
    </row>
    <row r="111">
      <c r="A111" s="5" t="n">
        <v>0</v>
      </c>
      <c r="B111" s="5" t="n">
        <v>1</v>
      </c>
      <c r="C111" s="5" t="n">
        <v>1</v>
      </c>
      <c r="D111" s="5" t="n">
        <v>0</v>
      </c>
      <c r="E111" s="5" t="n">
        <v>2</v>
      </c>
      <c r="F111" s="10" t="n">
        <v>7</v>
      </c>
      <c r="G111" s="7">
        <f>IF('⑤ 成長試算'!C14="—","—",A111*'⑤ 成長試算'!C14+B111*'⑤ 成長試算'!C11+C111*'⑤ 成長試算'!C8+D111*'⑤ 成長試算'!C5)</f>
        <v/>
      </c>
      <c r="H111" s="7">
        <f>IF('⑤ 成長試算'!C14="—","—",A111*'⑤ 成長試算'!C15+B111*'⑤ 成長試算'!C12+C111*'⑤ 成長試算'!C9+D111*'⑤ 成長試算'!C6)</f>
        <v/>
      </c>
      <c r="I111" s="7">
        <f>IF('⑤ 成長試算'!C14="—","—",(A111*'⑤ 成長試算'!C16+B111*'⑤ 成長試算'!C13+C111*'⑤ 成長試算'!C10+D111*'⑤ 成長試算'!C7)/E111)</f>
        <v/>
      </c>
      <c r="J111" s="7">
        <f>IF('⑤ 成長試算'!G14="—","—",A111*'⑤ 成長試算'!G14+B111*'⑤ 成長試算'!G11+C111*'⑤ 成長試算'!G8+D111*'⑤ 成長試算'!G5)</f>
        <v/>
      </c>
      <c r="K111" s="7">
        <f>IF('⑤ 成長試算'!G14="—","—",A111*'⑤ 成長試算'!G15+B111*'⑤ 成長試算'!G12+C111*'⑤ 成長試算'!G9+D111*'⑤ 成長試算'!G6)</f>
        <v/>
      </c>
      <c r="L111" s="7">
        <f>IF('⑤ 成長試算'!G14="—","—",(A111*'⑤ 成長試算'!G16+B111*'⑤ 成長試算'!G13+C111*'⑤ 成長試算'!G10+D111*'⑤ 成長試算'!G7)/E111)</f>
        <v/>
      </c>
      <c r="M111" s="7">
        <f>IF('⑤ 成長試算'!L14="—","—",A111*'⑤ 成長試算'!L14+B111*'⑤ 成長試算'!L11+C111*'⑤ 成長試算'!L8+D111*'⑤ 成長試算'!L5)</f>
        <v/>
      </c>
      <c r="N111" s="7">
        <f>IF('⑤ 成長試算'!L14="—","—",A111*'⑤ 成長試算'!L15+B111*'⑤ 成長試算'!L12+C111*'⑤ 成長試算'!L9+D111*'⑤ 成長試算'!L6)</f>
        <v/>
      </c>
      <c r="O111" s="7">
        <f>IF('⑤ 成長試算'!L14="—","—",(A111*'⑤ 成長試算'!L16+B111*'⑤ 成長試算'!L13+C111*'⑤ 成長試算'!L10+D111*'⑤ 成長試算'!L7)/E111)</f>
        <v/>
      </c>
      <c r="P111" s="5" t="inlineStr"/>
    </row>
    <row r="112">
      <c r="A112" s="5" t="n">
        <v>0</v>
      </c>
      <c r="B112" s="5" t="n">
        <v>1</v>
      </c>
      <c r="C112" s="5" t="n">
        <v>0</v>
      </c>
      <c r="D112" s="5" t="n">
        <v>1</v>
      </c>
      <c r="E112" s="5" t="n">
        <v>2</v>
      </c>
      <c r="F112" s="10" t="n">
        <v>6</v>
      </c>
      <c r="G112" s="7">
        <f>IF('⑤ 成長試算'!C14="—","—",A112*'⑤ 成長試算'!C14+B112*'⑤ 成長試算'!C11+C112*'⑤ 成長試算'!C8+D112*'⑤ 成長試算'!C5)</f>
        <v/>
      </c>
      <c r="H112" s="7">
        <f>IF('⑤ 成長試算'!C14="—","—",A112*'⑤ 成長試算'!C15+B112*'⑤ 成長試算'!C12+C112*'⑤ 成長試算'!C9+D112*'⑤ 成長試算'!C6)</f>
        <v/>
      </c>
      <c r="I112" s="7">
        <f>IF('⑤ 成長試算'!C14="—","—",(A112*'⑤ 成長試算'!C16+B112*'⑤ 成長試算'!C13+C112*'⑤ 成長試算'!C10+D112*'⑤ 成長試算'!C7)/E112)</f>
        <v/>
      </c>
      <c r="J112" s="7">
        <f>IF('⑤ 成長試算'!G14="—","—",A112*'⑤ 成長試算'!G14+B112*'⑤ 成長試算'!G11+C112*'⑤ 成長試算'!G8+D112*'⑤ 成長試算'!G5)</f>
        <v/>
      </c>
      <c r="K112" s="7">
        <f>IF('⑤ 成長試算'!G14="—","—",A112*'⑤ 成長試算'!G15+B112*'⑤ 成長試算'!G12+C112*'⑤ 成長試算'!G9+D112*'⑤ 成長試算'!G6)</f>
        <v/>
      </c>
      <c r="L112" s="7">
        <f>IF('⑤ 成長試算'!G14="—","—",(A112*'⑤ 成長試算'!G16+B112*'⑤ 成長試算'!G13+C112*'⑤ 成長試算'!G10+D112*'⑤ 成長試算'!G7)/E112)</f>
        <v/>
      </c>
      <c r="M112" s="7">
        <f>IF('⑤ 成長試算'!L14="—","—",A112*'⑤ 成長試算'!L14+B112*'⑤ 成長試算'!L11+C112*'⑤ 成長試算'!L8+D112*'⑤ 成長試算'!L5)</f>
        <v/>
      </c>
      <c r="N112" s="7">
        <f>IF('⑤ 成長試算'!L14="—","—",A112*'⑤ 成長試算'!L15+B112*'⑤ 成長試算'!L12+C112*'⑤ 成長試算'!L9+D112*'⑤ 成長試算'!L6)</f>
        <v/>
      </c>
      <c r="O112" s="7">
        <f>IF('⑤ 成長試算'!L14="—","—",(A112*'⑤ 成長試算'!L16+B112*'⑤ 成長試算'!L13+C112*'⑤ 成長試算'!L10+D112*'⑤ 成長試算'!L7)/E112)</f>
        <v/>
      </c>
      <c r="P112" s="5" t="inlineStr"/>
    </row>
    <row r="113">
      <c r="A113" s="5" t="n">
        <v>0</v>
      </c>
      <c r="B113" s="5" t="n">
        <v>0</v>
      </c>
      <c r="C113" s="5" t="n">
        <v>2</v>
      </c>
      <c r="D113" s="5" t="n">
        <v>0</v>
      </c>
      <c r="E113" s="5" t="n">
        <v>2</v>
      </c>
      <c r="F113" s="10" t="n">
        <v>6</v>
      </c>
      <c r="G113" s="7">
        <f>IF('⑤ 成長試算'!C14="—","—",A113*'⑤ 成長試算'!C14+B113*'⑤ 成長試算'!C11+C113*'⑤ 成長試算'!C8+D113*'⑤ 成長試算'!C5)</f>
        <v/>
      </c>
      <c r="H113" s="7">
        <f>IF('⑤ 成長試算'!C14="—","—",A113*'⑤ 成長試算'!C15+B113*'⑤ 成長試算'!C12+C113*'⑤ 成長試算'!C9+D113*'⑤ 成長試算'!C6)</f>
        <v/>
      </c>
      <c r="I113" s="7">
        <f>IF('⑤ 成長試算'!C14="—","—",(A113*'⑤ 成長試算'!C16+B113*'⑤ 成長試算'!C13+C113*'⑤ 成長試算'!C10+D113*'⑤ 成長試算'!C7)/E113)</f>
        <v/>
      </c>
      <c r="J113" s="7">
        <f>IF('⑤ 成長試算'!G14="—","—",A113*'⑤ 成長試算'!G14+B113*'⑤ 成長試算'!G11+C113*'⑤ 成長試算'!G8+D113*'⑤ 成長試算'!G5)</f>
        <v/>
      </c>
      <c r="K113" s="7">
        <f>IF('⑤ 成長試算'!G14="—","—",A113*'⑤ 成長試算'!G15+B113*'⑤ 成長試算'!G12+C113*'⑤ 成長試算'!G9+D113*'⑤ 成長試算'!G6)</f>
        <v/>
      </c>
      <c r="L113" s="7">
        <f>IF('⑤ 成長試算'!G14="—","—",(A113*'⑤ 成長試算'!G16+B113*'⑤ 成長試算'!G13+C113*'⑤ 成長試算'!G10+D113*'⑤ 成長試算'!G7)/E113)</f>
        <v/>
      </c>
      <c r="M113" s="7">
        <f>IF('⑤ 成長試算'!L14="—","—",A113*'⑤ 成長試算'!L14+B113*'⑤ 成長試算'!L11+C113*'⑤ 成長試算'!L8+D113*'⑤ 成長試算'!L5)</f>
        <v/>
      </c>
      <c r="N113" s="7">
        <f>IF('⑤ 成長試算'!L14="—","—",A113*'⑤ 成長試算'!L15+B113*'⑤ 成長試算'!L12+C113*'⑤ 成長試算'!L9+D113*'⑤ 成長試算'!L6)</f>
        <v/>
      </c>
      <c r="O113" s="7">
        <f>IF('⑤ 成長試算'!L14="—","—",(A113*'⑤ 成長試算'!L16+B113*'⑤ 成長試算'!L13+C113*'⑤ 成長試算'!L10+D113*'⑤ 成長試算'!L7)/E113)</f>
        <v/>
      </c>
      <c r="P113" s="5" t="inlineStr"/>
    </row>
    <row r="114">
      <c r="A114" s="5" t="n">
        <v>0</v>
      </c>
      <c r="B114" s="5" t="n">
        <v>0</v>
      </c>
      <c r="C114" s="5" t="n">
        <v>1</v>
      </c>
      <c r="D114" s="5" t="n">
        <v>1</v>
      </c>
      <c r="E114" s="5" t="n">
        <v>2</v>
      </c>
      <c r="F114" s="10" t="n">
        <v>5</v>
      </c>
      <c r="G114" s="7">
        <f>IF('⑤ 成長試算'!C14="—","—",A114*'⑤ 成長試算'!C14+B114*'⑤ 成長試算'!C11+C114*'⑤ 成長試算'!C8+D114*'⑤ 成長試算'!C5)</f>
        <v/>
      </c>
      <c r="H114" s="7">
        <f>IF('⑤ 成長試算'!C14="—","—",A114*'⑤ 成長試算'!C15+B114*'⑤ 成長試算'!C12+C114*'⑤ 成長試算'!C9+D114*'⑤ 成長試算'!C6)</f>
        <v/>
      </c>
      <c r="I114" s="7">
        <f>IF('⑤ 成長試算'!C14="—","—",(A114*'⑤ 成長試算'!C16+B114*'⑤ 成長試算'!C13+C114*'⑤ 成長試算'!C10+D114*'⑤ 成長試算'!C7)/E114)</f>
        <v/>
      </c>
      <c r="J114" s="7">
        <f>IF('⑤ 成長試算'!G14="—","—",A114*'⑤ 成長試算'!G14+B114*'⑤ 成長試算'!G11+C114*'⑤ 成長試算'!G8+D114*'⑤ 成長試算'!G5)</f>
        <v/>
      </c>
      <c r="K114" s="7">
        <f>IF('⑤ 成長試算'!G14="—","—",A114*'⑤ 成長試算'!G15+B114*'⑤ 成長試算'!G12+C114*'⑤ 成長試算'!G9+D114*'⑤ 成長試算'!G6)</f>
        <v/>
      </c>
      <c r="L114" s="7">
        <f>IF('⑤ 成長試算'!G14="—","—",(A114*'⑤ 成長試算'!G16+B114*'⑤ 成長試算'!G13+C114*'⑤ 成長試算'!G10+D114*'⑤ 成長試算'!G7)/E114)</f>
        <v/>
      </c>
      <c r="M114" s="7">
        <f>IF('⑤ 成長試算'!L14="—","—",A114*'⑤ 成長試算'!L14+B114*'⑤ 成長試算'!L11+C114*'⑤ 成長試算'!L8+D114*'⑤ 成長試算'!L5)</f>
        <v/>
      </c>
      <c r="N114" s="7">
        <f>IF('⑤ 成長試算'!L14="—","—",A114*'⑤ 成長試算'!L15+B114*'⑤ 成長試算'!L12+C114*'⑤ 成長試算'!L9+D114*'⑤ 成長試算'!L6)</f>
        <v/>
      </c>
      <c r="O114" s="7">
        <f>IF('⑤ 成長試算'!L14="—","—",(A114*'⑤ 成長試算'!L16+B114*'⑤ 成長試算'!L13+C114*'⑤ 成長試算'!L10+D114*'⑤ 成長試算'!L7)/E114)</f>
        <v/>
      </c>
      <c r="P114" s="5" t="inlineStr"/>
    </row>
    <row r="115">
      <c r="A115" s="5" t="n">
        <v>0</v>
      </c>
      <c r="B115" s="5" t="n">
        <v>0</v>
      </c>
      <c r="C115" s="5" t="n">
        <v>0</v>
      </c>
      <c r="D115" s="5" t="n">
        <v>2</v>
      </c>
      <c r="E115" s="5" t="n">
        <v>2</v>
      </c>
      <c r="F115" s="10" t="n">
        <v>4</v>
      </c>
      <c r="G115" s="7">
        <f>IF('⑤ 成長試算'!C14="—","—",A115*'⑤ 成長試算'!C14+B115*'⑤ 成長試算'!C11+C115*'⑤ 成長試算'!C8+D115*'⑤ 成長試算'!C5)</f>
        <v/>
      </c>
      <c r="H115" s="7">
        <f>IF('⑤ 成長試算'!C14="—","—",A115*'⑤ 成長試算'!C15+B115*'⑤ 成長試算'!C12+C115*'⑤ 成長試算'!C9+D115*'⑤ 成長試算'!C6)</f>
        <v/>
      </c>
      <c r="I115" s="7">
        <f>IF('⑤ 成長試算'!C14="—","—",(A115*'⑤ 成長試算'!C16+B115*'⑤ 成長試算'!C13+C115*'⑤ 成長試算'!C10+D115*'⑤ 成長試算'!C7)/E115)</f>
        <v/>
      </c>
      <c r="J115" s="7">
        <f>IF('⑤ 成長試算'!G14="—","—",A115*'⑤ 成長試算'!G14+B115*'⑤ 成長試算'!G11+C115*'⑤ 成長試算'!G8+D115*'⑤ 成長試算'!G5)</f>
        <v/>
      </c>
      <c r="K115" s="7">
        <f>IF('⑤ 成長試算'!G14="—","—",A115*'⑤ 成長試算'!G15+B115*'⑤ 成長試算'!G12+C115*'⑤ 成長試算'!G9+D115*'⑤ 成長試算'!G6)</f>
        <v/>
      </c>
      <c r="L115" s="7">
        <f>IF('⑤ 成長試算'!G14="—","—",(A115*'⑤ 成長試算'!G16+B115*'⑤ 成長試算'!G13+C115*'⑤ 成長試算'!G10+D115*'⑤ 成長試算'!G7)/E115)</f>
        <v/>
      </c>
      <c r="M115" s="7">
        <f>IF('⑤ 成長試算'!L14="—","—",A115*'⑤ 成長試算'!L14+B115*'⑤ 成長試算'!L11+C115*'⑤ 成長試算'!L8+D115*'⑤ 成長試算'!L5)</f>
        <v/>
      </c>
      <c r="N115" s="7">
        <f>IF('⑤ 成長試算'!L14="—","—",A115*'⑤ 成長試算'!L15+B115*'⑤ 成長試算'!L12+C115*'⑤ 成長試算'!L9+D115*'⑤ 成長試算'!L6)</f>
        <v/>
      </c>
      <c r="O115" s="7">
        <f>IF('⑤ 成長試算'!L14="—","—",(A115*'⑤ 成長試算'!L16+B115*'⑤ 成長試算'!L13+C115*'⑤ 成長試算'!L10+D115*'⑤ 成長試算'!L7)/E115)</f>
        <v/>
      </c>
      <c r="P115" s="5" t="inlineStr">
        <is>
          <t>C単一（最安）</t>
        </is>
      </c>
    </row>
    <row r="116">
      <c r="A116" s="5" t="n">
        <v>1</v>
      </c>
      <c r="B116" s="5" t="n">
        <v>0</v>
      </c>
      <c r="C116" s="5" t="n">
        <v>0</v>
      </c>
      <c r="D116" s="5" t="n">
        <v>0</v>
      </c>
      <c r="E116" s="5" t="n">
        <v>1</v>
      </c>
      <c r="F116" s="10" t="n">
        <v>5</v>
      </c>
      <c r="G116" s="7">
        <f>IF('⑤ 成長試算'!C14="—","—",A116*'⑤ 成長試算'!C14+B116*'⑤ 成長試算'!C11+C116*'⑤ 成長試算'!C8+D116*'⑤ 成長試算'!C5)</f>
        <v/>
      </c>
      <c r="H116" s="7">
        <f>IF('⑤ 成長試算'!C14="—","—",A116*'⑤ 成長試算'!C15+B116*'⑤ 成長試算'!C12+C116*'⑤ 成長試算'!C9+D116*'⑤ 成長試算'!C6)</f>
        <v/>
      </c>
      <c r="I116" s="7">
        <f>IF('⑤ 成長試算'!C14="—","—",(A116*'⑤ 成長試算'!C16+B116*'⑤ 成長試算'!C13+C116*'⑤ 成長試算'!C10+D116*'⑤ 成長試算'!C7)/E116)</f>
        <v/>
      </c>
      <c r="J116" s="7">
        <f>IF('⑤ 成長試算'!G14="—","—",A116*'⑤ 成長試算'!G14+B116*'⑤ 成長試算'!G11+C116*'⑤ 成長試算'!G8+D116*'⑤ 成長試算'!G5)</f>
        <v/>
      </c>
      <c r="K116" s="7">
        <f>IF('⑤ 成長試算'!G14="—","—",A116*'⑤ 成長試算'!G15+B116*'⑤ 成長試算'!G12+C116*'⑤ 成長試算'!G9+D116*'⑤ 成長試算'!G6)</f>
        <v/>
      </c>
      <c r="L116" s="7">
        <f>IF('⑤ 成長試算'!G14="—","—",(A116*'⑤ 成長試算'!G16+B116*'⑤ 成長試算'!G13+C116*'⑤ 成長試算'!G10+D116*'⑤ 成長試算'!G7)/E116)</f>
        <v/>
      </c>
      <c r="M116" s="7">
        <f>IF('⑤ 成長試算'!L14="—","—",A116*'⑤ 成長試算'!L14+B116*'⑤ 成長試算'!L11+C116*'⑤ 成長試算'!L8+D116*'⑤ 成長試算'!L5)</f>
        <v/>
      </c>
      <c r="N116" s="7">
        <f>IF('⑤ 成長試算'!L14="—","—",A116*'⑤ 成長試算'!L15+B116*'⑤ 成長試算'!L12+C116*'⑤ 成長試算'!L9+D116*'⑤ 成長試算'!L6)</f>
        <v/>
      </c>
      <c r="O116" s="7">
        <f>IF('⑤ 成長試算'!L14="—","—",(A116*'⑤ 成長試算'!L16+B116*'⑤ 成長試算'!L13+C116*'⑤ 成長試算'!L10+D116*'⑤ 成長試算'!L7)/E116)</f>
        <v/>
      </c>
      <c r="P116" s="5" t="inlineStr">
        <is>
          <t>S単一</t>
        </is>
      </c>
    </row>
    <row r="117">
      <c r="A117" s="5" t="n">
        <v>0</v>
      </c>
      <c r="B117" s="5" t="n">
        <v>1</v>
      </c>
      <c r="C117" s="5" t="n">
        <v>0</v>
      </c>
      <c r="D117" s="5" t="n">
        <v>0</v>
      </c>
      <c r="E117" s="5" t="n">
        <v>1</v>
      </c>
      <c r="F117" s="10" t="n">
        <v>4</v>
      </c>
      <c r="G117" s="7">
        <f>IF('⑤ 成長試算'!C14="—","—",A117*'⑤ 成長試算'!C14+B117*'⑤ 成長試算'!C11+C117*'⑤ 成長試算'!C8+D117*'⑤ 成長試算'!C5)</f>
        <v/>
      </c>
      <c r="H117" s="7">
        <f>IF('⑤ 成長試算'!C14="—","—",A117*'⑤ 成長試算'!C15+B117*'⑤ 成長試算'!C12+C117*'⑤ 成長試算'!C9+D117*'⑤ 成長試算'!C6)</f>
        <v/>
      </c>
      <c r="I117" s="7">
        <f>IF('⑤ 成長試算'!C14="—","—",(A117*'⑤ 成長試算'!C16+B117*'⑤ 成長試算'!C13+C117*'⑤ 成長試算'!C10+D117*'⑤ 成長試算'!C7)/E117)</f>
        <v/>
      </c>
      <c r="J117" s="7">
        <f>IF('⑤ 成長試算'!G14="—","—",A117*'⑤ 成長試算'!G14+B117*'⑤ 成長試算'!G11+C117*'⑤ 成長試算'!G8+D117*'⑤ 成長試算'!G5)</f>
        <v/>
      </c>
      <c r="K117" s="7">
        <f>IF('⑤ 成長試算'!G14="—","—",A117*'⑤ 成長試算'!G15+B117*'⑤ 成長試算'!G12+C117*'⑤ 成長試算'!G9+D117*'⑤ 成長試算'!G6)</f>
        <v/>
      </c>
      <c r="L117" s="7">
        <f>IF('⑤ 成長試算'!G14="—","—",(A117*'⑤ 成長試算'!G16+B117*'⑤ 成長試算'!G13+C117*'⑤ 成長試算'!G10+D117*'⑤ 成長試算'!G7)/E117)</f>
        <v/>
      </c>
      <c r="M117" s="7">
        <f>IF('⑤ 成長試算'!L14="—","—",A117*'⑤ 成長試算'!L14+B117*'⑤ 成長試算'!L11+C117*'⑤ 成長試算'!L8+D117*'⑤ 成長試算'!L5)</f>
        <v/>
      </c>
      <c r="N117" s="7">
        <f>IF('⑤ 成長試算'!L14="—","—",A117*'⑤ 成長試算'!L15+B117*'⑤ 成長試算'!L12+C117*'⑤ 成長試算'!L9+D117*'⑤ 成長試算'!L6)</f>
        <v/>
      </c>
      <c r="O117" s="7">
        <f>IF('⑤ 成長試算'!L14="—","—",(A117*'⑤ 成長試算'!L16+B117*'⑤ 成長試算'!L13+C117*'⑤ 成長試算'!L10+D117*'⑤ 成長試算'!L7)/E117)</f>
        <v/>
      </c>
      <c r="P117" s="5" t="inlineStr"/>
    </row>
    <row r="118">
      <c r="A118" s="5" t="n">
        <v>0</v>
      </c>
      <c r="B118" s="5" t="n">
        <v>0</v>
      </c>
      <c r="C118" s="5" t="n">
        <v>1</v>
      </c>
      <c r="D118" s="5" t="n">
        <v>0</v>
      </c>
      <c r="E118" s="5" t="n">
        <v>1</v>
      </c>
      <c r="F118" s="10" t="n">
        <v>3</v>
      </c>
      <c r="G118" s="7">
        <f>IF('⑤ 成長試算'!C14="—","—",A118*'⑤ 成長試算'!C14+B118*'⑤ 成長試算'!C11+C118*'⑤ 成長試算'!C8+D118*'⑤ 成長試算'!C5)</f>
        <v/>
      </c>
      <c r="H118" s="7">
        <f>IF('⑤ 成長試算'!C14="—","—",A118*'⑤ 成長試算'!C15+B118*'⑤ 成長試算'!C12+C118*'⑤ 成長試算'!C9+D118*'⑤ 成長試算'!C6)</f>
        <v/>
      </c>
      <c r="I118" s="7">
        <f>IF('⑤ 成長試算'!C14="—","—",(A118*'⑤ 成長試算'!C16+B118*'⑤ 成長試算'!C13+C118*'⑤ 成長試算'!C10+D118*'⑤ 成長試算'!C7)/E118)</f>
        <v/>
      </c>
      <c r="J118" s="7">
        <f>IF('⑤ 成長試算'!G14="—","—",A118*'⑤ 成長試算'!G14+B118*'⑤ 成長試算'!G11+C118*'⑤ 成長試算'!G8+D118*'⑤ 成長試算'!G5)</f>
        <v/>
      </c>
      <c r="K118" s="7">
        <f>IF('⑤ 成長試算'!G14="—","—",A118*'⑤ 成長試算'!G15+B118*'⑤ 成長試算'!G12+C118*'⑤ 成長試算'!G9+D118*'⑤ 成長試算'!G6)</f>
        <v/>
      </c>
      <c r="L118" s="7">
        <f>IF('⑤ 成長試算'!G14="—","—",(A118*'⑤ 成長試算'!G16+B118*'⑤ 成長試算'!G13+C118*'⑤ 成長試算'!G10+D118*'⑤ 成長試算'!G7)/E118)</f>
        <v/>
      </c>
      <c r="M118" s="7">
        <f>IF('⑤ 成長試算'!L14="—","—",A118*'⑤ 成長試算'!L14+B118*'⑤ 成長試算'!L11+C118*'⑤ 成長試算'!L8+D118*'⑤ 成長試算'!L5)</f>
        <v/>
      </c>
      <c r="N118" s="7">
        <f>IF('⑤ 成長試算'!L14="—","—",A118*'⑤ 成長試算'!L15+B118*'⑤ 成長試算'!L12+C118*'⑤ 成長試算'!L9+D118*'⑤ 成長試算'!L6)</f>
        <v/>
      </c>
      <c r="O118" s="7">
        <f>IF('⑤ 成長試算'!L14="—","—",(A118*'⑤ 成長試算'!L16+B118*'⑤ 成長試算'!L13+C118*'⑤ 成長試算'!L10+D118*'⑤ 成長試算'!L7)/E118)</f>
        <v/>
      </c>
      <c r="P118" s="5" t="inlineStr"/>
    </row>
    <row r="119">
      <c r="A119" s="5" t="n">
        <v>0</v>
      </c>
      <c r="B119" s="5" t="n">
        <v>0</v>
      </c>
      <c r="C119" s="5" t="n">
        <v>0</v>
      </c>
      <c r="D119" s="5" t="n">
        <v>1</v>
      </c>
      <c r="E119" s="5" t="n">
        <v>1</v>
      </c>
      <c r="F119" s="10" t="n">
        <v>2</v>
      </c>
      <c r="G119" s="7">
        <f>IF('⑤ 成長試算'!C14="—","—",A119*'⑤ 成長試算'!C14+B119*'⑤ 成長試算'!C11+C119*'⑤ 成長試算'!C8+D119*'⑤ 成長試算'!C5)</f>
        <v/>
      </c>
      <c r="H119" s="7">
        <f>IF('⑤ 成長試算'!C14="—","—",A119*'⑤ 成長試算'!C15+B119*'⑤ 成長試算'!C12+C119*'⑤ 成長試算'!C9+D119*'⑤ 成長試算'!C6)</f>
        <v/>
      </c>
      <c r="I119" s="7">
        <f>IF('⑤ 成長試算'!C14="—","—",(A119*'⑤ 成長試算'!C16+B119*'⑤ 成長試算'!C13+C119*'⑤ 成長試算'!C10+D119*'⑤ 成長試算'!C7)/E119)</f>
        <v/>
      </c>
      <c r="J119" s="7">
        <f>IF('⑤ 成長試算'!G14="—","—",A119*'⑤ 成長試算'!G14+B119*'⑤ 成長試算'!G11+C119*'⑤ 成長試算'!G8+D119*'⑤ 成長試算'!G5)</f>
        <v/>
      </c>
      <c r="K119" s="7">
        <f>IF('⑤ 成長試算'!G14="—","—",A119*'⑤ 成長試算'!G15+B119*'⑤ 成長試算'!G12+C119*'⑤ 成長試算'!G9+D119*'⑤ 成長試算'!G6)</f>
        <v/>
      </c>
      <c r="L119" s="7">
        <f>IF('⑤ 成長試算'!G14="—","—",(A119*'⑤ 成長試算'!G16+B119*'⑤ 成長試算'!G13+C119*'⑤ 成長試算'!G10+D119*'⑤ 成長試算'!G7)/E119)</f>
        <v/>
      </c>
      <c r="M119" s="7">
        <f>IF('⑤ 成長試算'!L14="—","—",A119*'⑤ 成長試算'!L14+B119*'⑤ 成長試算'!L11+C119*'⑤ 成長試算'!L8+D119*'⑤ 成長試算'!L5)</f>
        <v/>
      </c>
      <c r="N119" s="7">
        <f>IF('⑤ 成長試算'!L14="—","—",A119*'⑤ 成長試算'!L15+B119*'⑤ 成長試算'!L12+C119*'⑤ 成長試算'!L9+D119*'⑤ 成長試算'!L6)</f>
        <v/>
      </c>
      <c r="O119" s="7">
        <f>IF('⑤ 成長試算'!L14="—","—",(A119*'⑤ 成長試算'!L16+B119*'⑤ 成長試算'!L13+C119*'⑤ 成長試算'!L10+D119*'⑤ 成長試算'!L7)/E119)</f>
        <v/>
      </c>
      <c r="P119" s="5" t="inlineStr">
        <is>
          <t>C単一（最安）</t>
        </is>
      </c>
    </row>
    <row r="121">
      <c r="A121" s="3" t="inlineStr">
        <is>
          <t xml:space="preserve">　編成の組み合わせ: 114通り（体数5以下・COST20以内）</t>
        </is>
      </c>
    </row>
    <row r="122">
      <c r="A122" s="3" t="inlineStr">
        <is>
          <t xml:space="preserve">　※ ランクごとの平均値で計算しています。実際は使い魔ごとに能力値が違います。</t>
        </is>
      </c>
    </row>
  </sheetData>
  <autoFilter ref="A5:P119"/>
  <mergeCells count="5">
    <mergeCell ref="A121:P121"/>
    <mergeCell ref="A1:P1"/>
    <mergeCell ref="A122:P122"/>
    <mergeCell ref="A3:P3"/>
    <mergeCell ref="A2:P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 ht="22" customHeight="1">
      <c r="A1" s="1" t="inlineStr">
        <is>
          <t xml:space="preserve">  ⑦ AIプロンプト　— 生成AIに戦闘シミュレーションを頼むための文章</t>
        </is>
      </c>
    </row>
    <row r="2">
      <c r="A2" s="3" t="inlineStr">
        <is>
          <t xml:space="preserve">　　下のB6セルをコピーして、そのままAIに貼り付けてください。③パラメータの値が入ります。</t>
        </is>
      </c>
    </row>
    <row r="4">
      <c r="B4" s="2" t="inlineStr">
        <is>
          <t>■ コピーする文章（③パラメータの値が自動で入ります）</t>
        </is>
      </c>
    </row>
    <row r="6" ht="430" customHeight="1">
      <c r="B6" s="18">
        <f>"あなたはゲームバランス設計の専門家です。"&amp;CHAR(10)&amp;"Discord上で動く対戦ゲーム「ラグナオンライン」のバランスを見てください。"&amp;CHAR(10)&amp;CHAR(10)&amp;"【ゲームの仕組み】"&amp;CHAR(10)&amp;"・ギルド同士が使い魔を出し合って戦うターン制バトルです。"&amp;CHAR(10)&amp;"・使い魔にはC/B/A/Sのランクがあり、COSTはC=2 B=3 A=4 S=5です。"&amp;CHAR(10)&amp;"・編成は合計COSTの上限内で組みます。SPDの高い順に行動します。"&amp;CHAR(10)&amp;"・ガチャで手に入るのはLv1です。同じ使い魔を合成するとレベルが上がります。"&amp;CHAR(10)&amp;"・成長は次の式です: Lvn の能力値 ＝ Lv1の能力値 ＋ 固定値 ×（n − 1）"&amp;CHAR(10)&amp;"・SPDは成長しません。行動順は最初から最後まで変わりません。"&amp;CHAR(10)&amp;"・スキルの効果量はATKや最大HPに対する割合で決まるため、"&amp;CHAR(10)&amp;"　能力値を上げるとスキルの威力も一緒に上がります。"&amp;CHAR(10)&amp;CHAR(10)&amp;"【パラメータ】"&amp;CHAR(10)&amp;"・使い魔の数: C="&amp;'③ パラメータ'!B5&amp;"体 B="&amp;'③ パラメータ'!B6&amp;"体 A="&amp;'③ パラメータ'!B7&amp;"体 S="&amp;'③ パラメータ'!B8&amp;"体"&amp;CHAR(10)&amp;"・排出率(単発): C="&amp;'③ パラメータ'!B13&amp;"% B="&amp;'③ パラメータ'!B14&amp;"% A="&amp;'③ パラメータ'!B15&amp;"% S="&amp;'③ パラメータ'!B16&amp;"%"&amp;CHAR(10)&amp;"・レベル: Lv1〜Lv"&amp;'③ パラメータ'!B32&amp;"（1レベル上げるのに同じ使い魔"&amp;'③ パラメータ'!B33&amp;"体）"&amp;CHAR(10)&amp;"・合成1回あたりの成長量（固定値）: C(HP+"&amp;'③ パラメータ'!B25&amp;"/ATK+"&amp;'③ パラメータ'!C25&amp;") B(HP+"&amp;'③ パラメータ'!B26&amp;"/ATK+"&amp;'③ パラメータ'!C26&amp;") A(HP+"&amp;'③ パラメータ'!B27&amp;"/ATK+"&amp;'③ パラメータ'!C27&amp;") S(HP+"&amp;'③ パラメータ'!B28&amp;"/ATK+"&amp;'③ パラメータ'!C28&amp;")"&amp;CHAR(10)&amp;"・ガチャ単発費用: "&amp;TEXT('③ パラメータ'!B21,"#,##0")&amp;" coin"&amp;CHAR(10)&amp;"・合計COST上限: "&amp;'③ パラメータ'!B48&amp;"／出場"&amp;'③ パラメータ'!B49&amp;"体"&amp;CHAR(10)&amp;CHAR(10)&amp;"【お願いしたいこと】"&amp;CHAR(10)&amp;"1. この設定で、どのランクの使い魔が有利になるか教えてください。"&amp;CHAR(10)&amp;"2. 合計COST上限の中で、一番強い編成の組み方は何になりますか。"&amp;CHAR(10)&amp;"　 （高COSTを少数か、低COSTを多数か、どちらが有利になるか）"&amp;CHAR(10)&amp;"3. 壊れている（強すぎる・弱すぎる）ところがあれば指摘してください。"&amp;CHAR(10)&amp;"4. 直すとしたら、どのパラメータをいくつにするのが良いか提案してください。"&amp;CHAR(10)&amp;CHAR(10)&amp;"【答え方】"&amp;CHAR(10)&amp;"・数字の根拠を必ず示してください。"&amp;CHAR(10)&amp;"・「なんとなく強い」ではなく、何ターンで倒せるかなどで比べてください。"&amp;CHAR(10)&amp;"・日本語で、専門用語を使わずに説明してください。"</f>
        <v/>
      </c>
    </row>
    <row r="8">
      <c r="B8" s="2" t="inlineStr">
        <is>
          <t>■ 使い魔のデータも渡したいとき</t>
        </is>
      </c>
    </row>
    <row r="9">
      <c r="B9" s="3" t="inlineStr">
        <is>
          <t xml:space="preserve">　②使い魔一覧のシートをコピーして、上の文章のあとに貼り付けてください。</t>
        </is>
      </c>
    </row>
    <row r="10">
      <c r="B10" s="3" t="inlineStr">
        <is>
          <t xml:space="preserve">　50体ぶんの能力値とスキルが渡るので、より細かく見てもらえます。</t>
        </is>
      </c>
    </row>
    <row r="11">
      <c r="B11" s="3" t="inlineStr"/>
    </row>
    <row r="12">
      <c r="B12" s="2" t="inlineStr">
        <is>
          <t>■ 結果をシートに戻すとき</t>
        </is>
      </c>
    </row>
    <row r="13">
      <c r="B13" s="3" t="inlineStr">
        <is>
          <t xml:space="preserve">　AIの提案した数値を②③に入れると、④⑤⑥がその場で計算し直されます。</t>
        </is>
      </c>
    </row>
    <row r="14">
      <c r="B14" s="3" t="inlineStr">
        <is>
          <t xml:space="preserve">　見比べて良さそうなら教えてください。data/master/*.json へ反映します。</t>
        </is>
      </c>
    </row>
  </sheetData>
  <mergeCells count="2"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2026-08-22T06:25:52Z</dcterms:created>
  <dcterms:modified xsi:type="dcterms:W3CDTF">2026-08-22T06:25:52Z</dcterms:modified>
</cp:coreProperties>
</file>